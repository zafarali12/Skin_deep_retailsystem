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kin Deep\Data\COGS\2026\June 2026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" i="1" l="1"/>
  <c r="F54" i="1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<sst xmlns="http://schemas.openxmlformats.org/spreadsheetml/2006/main" count="68" uniqueCount="68">
  <si>
    <t>CLEAN SWEEP - 2% BHA Pore-Minimizing Toner (w/ purifying Charcoal)</t>
  </si>
  <si>
    <t>DREAM CREAM - Instant Skin Reviver 70ml</t>
  </si>
  <si>
    <t>Sr no.</t>
  </si>
  <si>
    <t>MRP</t>
  </si>
  <si>
    <t xml:space="preserve">Qty </t>
  </si>
  <si>
    <t>BAKUCHIOL RESURFACING NIGHT SERUM - with 10% Lactic Acid</t>
  </si>
  <si>
    <t>BLUE TANSY - Youth Preserve Night Cream with Retinol &amp; Blue Tansy Oil</t>
  </si>
  <si>
    <t>DEEP MOISTURE CONDITIONER - with Silk Protein+Pro Vit B5</t>
  </si>
  <si>
    <t>ACNE CLARIFYING SERUM - Energetic Skin Therapy for Acne &amp; Scars</t>
  </si>
  <si>
    <t>DEODORANT Lemon+Tea Tree</t>
  </si>
  <si>
    <t>DEODORANT REFILL POD</t>
  </si>
  <si>
    <t>DO OR DYE - Pro Root Touch-up Hair Stick Black</t>
  </si>
  <si>
    <t>DO OR DYE - Pro Root Touch-up Hair Stick Dark Brown</t>
  </si>
  <si>
    <t>DREAM GLAZE - Peptide Milk Toner</t>
  </si>
  <si>
    <t>GUA SHA - Rose Quartz Crystal Heart</t>
  </si>
  <si>
    <t>HAIR REVIVER - Rice Protein Solid Shampoo</t>
  </si>
  <si>
    <t>MATTE SUPERSTICK - SPF 50 PA+++</t>
  </si>
  <si>
    <t>MIRACLE PATCH - Acne Healing &amp; Blemish Spot Treatment</t>
  </si>
  <si>
    <t>I PEEL GOOD - AHA/BHA Peeling Potion</t>
  </si>
  <si>
    <t>NIACINAMIDE GLOW DROPS - with HA &amp; Vit B5</t>
  </si>
  <si>
    <t>ORGANIC REGENERATING FACE WASH - Daily Cleansing Treatment</t>
  </si>
  <si>
    <t>Peptide Lip Glaze Latte Lips</t>
  </si>
  <si>
    <t>Peptide Lip Glaze Pink Rose</t>
  </si>
  <si>
    <t>Peptide Lip Glaze Teddy Kiss</t>
  </si>
  <si>
    <t>SUPERSCREEN</t>
  </si>
  <si>
    <t>THE ALL-NATURAL UNDERARM BRIGHTENING CREAM</t>
  </si>
  <si>
    <t>Vit C BURST - Antioxidant Face Serum</t>
  </si>
  <si>
    <t>VIT C GLOW BOOSTER - Vitamin Nectar Moisturizer</t>
  </si>
  <si>
    <t>Peptide Lip Glaze Rose Wood</t>
  </si>
  <si>
    <t>Peptide Lip Glaze Deep Berry</t>
  </si>
  <si>
    <t>VELVET FLUSH - DEEP BERRY</t>
  </si>
  <si>
    <t>VELVET FLUSH - TOASTED BRWN</t>
  </si>
  <si>
    <t>VELVET FLUSH - FLAM PINK</t>
  </si>
  <si>
    <t>VELVET FLUSH -  CHERRY RED</t>
  </si>
  <si>
    <t>VELVET FLUSH - FERRY RED</t>
  </si>
  <si>
    <t>VELVET FLUSH - PERAL</t>
  </si>
  <si>
    <t>VELVET FLUSH -  FRENCH RESP</t>
  </si>
  <si>
    <t>CODE</t>
  </si>
  <si>
    <t>BARCODE</t>
  </si>
  <si>
    <t>PRODUCT</t>
  </si>
  <si>
    <t>VELVET FLUSH -  Coral</t>
  </si>
  <si>
    <t>VELVET FLUSH -  Rousy Mouv</t>
  </si>
  <si>
    <t>Liquid Shampoo</t>
  </si>
  <si>
    <t xml:space="preserve">CLINICAL HYDRATING CLEANSER </t>
  </si>
  <si>
    <t>CLINICAL GEL TO FOAM</t>
  </si>
  <si>
    <t>HAYLRUNIC SERUM</t>
  </si>
  <si>
    <t xml:space="preserve">BALANCE TONER </t>
  </si>
  <si>
    <t>EYE CREAM</t>
  </si>
  <si>
    <t>CLAY TO FAOM</t>
  </si>
  <si>
    <t>SUNSCREEN</t>
  </si>
  <si>
    <t>LOTION</t>
  </si>
  <si>
    <t>WEIGHT LESS</t>
  </si>
  <si>
    <t>GYCOLIC TONER</t>
  </si>
  <si>
    <t>PDRN</t>
  </si>
  <si>
    <t xml:space="preserve">GLOSS POP </t>
  </si>
  <si>
    <t>MIX</t>
  </si>
  <si>
    <t xml:space="preserve">SD RETAIL JUNE-26 SOLD UNITS </t>
  </si>
  <si>
    <t>SDC009</t>
  </si>
  <si>
    <t>SDC004</t>
  </si>
  <si>
    <t>SDC005</t>
  </si>
  <si>
    <t>SDC003</t>
  </si>
  <si>
    <t>SDC002</t>
  </si>
  <si>
    <t>SDC007</t>
  </si>
  <si>
    <t>SDC001</t>
  </si>
  <si>
    <t>SDC006</t>
  </si>
  <si>
    <t>SDC008</t>
  </si>
  <si>
    <t>SDC012</t>
  </si>
  <si>
    <t>SDC010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</si>
</sst>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1">
    <xf numFmtId="0" fontId="0" fillId="0" borderId="0" xfId="0"/>
    <xf numFmtId="1" fontId="0" fillId="2" borderId="1" xfId="0" applyNumberFormat="1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164" fontId="0" fillId="2" borderId="11" xfId="1" applyNumberFormat="1" applyFont="1" applyFill="1" applyBorder="1" applyAlignment="1">
      <alignment horizontal="center" vertical="center" wrapText="1"/>
    </xf>
    <xf numFmtId="164" fontId="0" fillId="2" borderId="13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6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2" xfId="0" applyBorder="1"/>
    <xf numFmtId="0" fontId="0" fillId="0" borderId="3" xfId="0" applyBorder="1"/>
    <xf numFmtId="164" fontId="0" fillId="0" borderId="4" xfId="1" applyNumberFormat="1" applyFont="1" applyBorder="1"/>
    <xf numFmtId="0" fontId="0" fillId="0" borderId="14" xfId="0" applyBorder="1"/>
    <xf numFmtId="0" fontId="0" fillId="0" borderId="15" xfId="0" applyBorder="1"/>
    <xf numFmtId="164" fontId="0" fillId="0" borderId="5" xfId="1" applyNumberFormat="1" applyFont="1" applyBorder="1"/>
    <xf numFmtId="0" fontId="0" fillId="0" borderId="16" xfId="0" applyBorder="1"/>
    <xf numFmtId="0" fontId="0" fillId="0" borderId="17" xfId="0" applyBorder="1"/>
    <xf numFmtId="0" fontId="0" fillId="2" borderId="17" xfId="0" applyFont="1" applyFill="1" applyBorder="1" applyAlignment="1">
      <alignment horizontal="left" vertical="center" wrapText="1"/>
    </xf>
    <xf numFmtId="164" fontId="0" fillId="2" borderId="18" xfId="1" applyNumberFormat="1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left" vertical="center" wrapText="1"/>
    </xf>
    <xf numFmtId="43" fontId="0" fillId="2" borderId="0" xfId="0" applyNumberFormat="1" applyFont="1" applyFill="1" applyBorder="1" applyAlignment="1">
      <alignment horizontal="center" vertical="center" wrapText="1"/>
    </xf>
    <xf numFmtId="43" fontId="0" fillId="0" borderId="0" xfId="0" applyNumberFormat="1"/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abSelected="1" topLeftCell="A20" zoomScale="118" zoomScaleNormal="118" workbookViewId="0">
      <selection activeCell="D41" sqref="D41"/>
    </sheetView>
  </sheetViews>
  <sheetFormatPr defaultRowHeight="14.4" x14ac:dyDescent="0.3"/>
  <cols>
    <col min="1" max="1" width="6" customWidth="1"/>
    <col min="2" max="3" width="15.88671875" customWidth="1"/>
    <col min="4" max="4" width="77.44140625" customWidth="1"/>
    <col min="5" max="5" width="9.109375" customWidth="1"/>
    <col min="6" max="6" width="17" customWidth="1"/>
    <col min="7" max="7" width="4.33203125" customWidth="1"/>
    <col min="8" max="8" width="10.109375" bestFit="1" customWidth="1"/>
    <col min="9" max="9" width="11.33203125" bestFit="1" customWidth="1"/>
  </cols>
  <sheetData>
    <row r="1" spans="1:9" ht="24" customHeight="1" thickBot="1" x14ac:dyDescent="0.35">
      <c r="A1" s="38" t="s">
        <v>56</v>
      </c>
      <c r="B1" s="39"/>
      <c r="C1" s="39"/>
      <c r="D1" s="39"/>
      <c r="E1" s="39"/>
      <c r="F1" s="40"/>
    </row>
    <row r="2" spans="1:9" ht="15" thickBot="1" x14ac:dyDescent="0.35">
      <c r="A2" s="11" t="s">
        <v>2</v>
      </c>
      <c r="B2" s="12" t="s">
        <v>38</v>
      </c>
      <c r="C2" s="12" t="s">
        <v>37</v>
      </c>
      <c r="D2" s="13" t="s">
        <v>39</v>
      </c>
      <c r="E2" s="13" t="s">
        <v>3</v>
      </c>
      <c r="F2" s="14" t="s">
        <v>4</v>
      </c>
    </row>
    <row r="3" spans="1:9" ht="15" customHeight="1" x14ac:dyDescent="0.3">
      <c r="A3" s="3">
        <v>1</v>
      </c>
      <c r="B3" s="2">
        <v>8964002695379</v>
      </c>
      <c r="C3" s="8">
        <v>2021001</v>
      </c>
      <c r="D3" s="15" t="s">
        <v>8</v>
      </c>
      <c r="E3" s="23">
        <v>2250</v>
      </c>
      <c r="F3" s="18">
        <v>16.2</v>
      </c>
      <c r="H3" s="36"/>
      <c r="I3" s="37"/>
    </row>
    <row r="4" spans="1:9" ht="15" customHeight="1" x14ac:dyDescent="0.3">
      <c r="A4" s="4">
        <f>A3+1</f>
        <v>2</v>
      </c>
      <c r="B4" s="1">
        <v>8964002695966</v>
      </c>
      <c r="C4" s="9">
        <v>2021002</v>
      </c>
      <c r="D4" s="16" t="s">
        <v>5</v>
      </c>
      <c r="E4" s="5">
        <v>2499</v>
      </c>
      <c r="F4" s="19">
        <v>53.1</v>
      </c>
      <c r="H4" s="36"/>
    </row>
    <row r="5" spans="1:9" ht="15" customHeight="1" x14ac:dyDescent="0.3">
      <c r="A5" s="4">
        <f t="shared" ref="A5:A50" si="0">A4+1</f>
        <v>3</v>
      </c>
      <c r="B5" s="1">
        <v>8964002695645</v>
      </c>
      <c r="C5" s="9">
        <v>2021003</v>
      </c>
      <c r="D5" s="16" t="s">
        <v>6</v>
      </c>
      <c r="E5" s="5">
        <v>2199</v>
      </c>
      <c r="F5" s="19">
        <v>20.7</v>
      </c>
      <c r="H5" s="36"/>
    </row>
    <row r="6" spans="1:9" ht="15" customHeight="1" x14ac:dyDescent="0.3">
      <c r="A6" s="4">
        <f t="shared" si="0"/>
        <v>4</v>
      </c>
      <c r="B6" s="1">
        <v>8964002695935</v>
      </c>
      <c r="C6" s="9">
        <v>2021004</v>
      </c>
      <c r="D6" s="16" t="s">
        <v>0</v>
      </c>
      <c r="E6" s="5">
        <v>1999</v>
      </c>
      <c r="F6" s="19">
        <v>21.6</v>
      </c>
      <c r="H6" s="36"/>
    </row>
    <row r="7" spans="1:9" ht="15" customHeight="1" x14ac:dyDescent="0.3">
      <c r="A7" s="4">
        <f t="shared" si="0"/>
        <v>5</v>
      </c>
      <c r="B7" s="1">
        <v>8964002695577</v>
      </c>
      <c r="C7" s="6">
        <v>2022001</v>
      </c>
      <c r="D7" s="16" t="s">
        <v>9</v>
      </c>
      <c r="E7" s="5">
        <v>2200</v>
      </c>
      <c r="F7" s="19">
        <v>41.4</v>
      </c>
      <c r="H7" s="36"/>
    </row>
    <row r="8" spans="1:9" ht="15" customHeight="1" x14ac:dyDescent="0.3">
      <c r="A8" s="4">
        <f t="shared" si="0"/>
        <v>6</v>
      </c>
      <c r="B8" s="1">
        <v>8964002695348</v>
      </c>
      <c r="C8" s="6">
        <v>2022002</v>
      </c>
      <c r="D8" s="16" t="s">
        <v>10</v>
      </c>
      <c r="E8" s="5">
        <v>1299</v>
      </c>
      <c r="F8" s="19">
        <v>9.9</v>
      </c>
      <c r="H8" s="36"/>
    </row>
    <row r="9" spans="1:9" ht="15" customHeight="1" x14ac:dyDescent="0.3">
      <c r="A9" s="4">
        <f t="shared" si="0"/>
        <v>7</v>
      </c>
      <c r="B9" s="1">
        <v>8964002695294</v>
      </c>
      <c r="C9" s="6">
        <v>2023003</v>
      </c>
      <c r="D9" s="16" t="s">
        <v>11</v>
      </c>
      <c r="E9" s="5">
        <v>2499</v>
      </c>
      <c r="F9" s="19">
        <v>24.3</v>
      </c>
      <c r="H9" s="36"/>
    </row>
    <row r="10" spans="1:9" ht="15" customHeight="1" x14ac:dyDescent="0.3">
      <c r="A10" s="4">
        <f t="shared" si="0"/>
        <v>8</v>
      </c>
      <c r="B10" s="1">
        <v>8964002695294</v>
      </c>
      <c r="C10" s="6">
        <v>2023004</v>
      </c>
      <c r="D10" s="16" t="s">
        <v>12</v>
      </c>
      <c r="E10" s="5">
        <v>2499</v>
      </c>
      <c r="F10" s="19">
        <v>36</v>
      </c>
      <c r="H10" s="36"/>
    </row>
    <row r="11" spans="1:9" ht="15" customHeight="1" x14ac:dyDescent="0.3">
      <c r="A11" s="4">
        <f t="shared" si="0"/>
        <v>9</v>
      </c>
      <c r="B11" s="1">
        <v>8964002695980</v>
      </c>
      <c r="C11" s="7">
        <v>2021017</v>
      </c>
      <c r="D11" s="16" t="s">
        <v>1</v>
      </c>
      <c r="E11" s="5">
        <v>2799</v>
      </c>
      <c r="F11" s="19">
        <v>17.100000000000001</v>
      </c>
      <c r="H11" s="36"/>
    </row>
    <row r="12" spans="1:9" ht="15" customHeight="1" x14ac:dyDescent="0.3">
      <c r="A12" s="4">
        <f t="shared" si="0"/>
        <v>10</v>
      </c>
      <c r="B12" s="1">
        <v>8964002695430</v>
      </c>
      <c r="C12" s="7">
        <v>2021018</v>
      </c>
      <c r="D12" s="16" t="s">
        <v>13</v>
      </c>
      <c r="E12" s="5">
        <v>1350</v>
      </c>
      <c r="F12" s="19">
        <v>99</v>
      </c>
      <c r="H12" s="36"/>
    </row>
    <row r="13" spans="1:9" ht="15" customHeight="1" x14ac:dyDescent="0.3">
      <c r="A13" s="4">
        <f t="shared" si="0"/>
        <v>11</v>
      </c>
      <c r="B13" s="1">
        <v>8964002695560</v>
      </c>
      <c r="C13" s="6">
        <v>2024001</v>
      </c>
      <c r="D13" s="16" t="s">
        <v>14</v>
      </c>
      <c r="E13" s="5">
        <v>2999</v>
      </c>
      <c r="F13" s="19">
        <v>41.4</v>
      </c>
      <c r="H13" s="36"/>
    </row>
    <row r="14" spans="1:9" ht="15" customHeight="1" x14ac:dyDescent="0.3">
      <c r="A14" s="4">
        <f t="shared" si="0"/>
        <v>12</v>
      </c>
      <c r="B14" s="1">
        <v>8964002695140</v>
      </c>
      <c r="C14" s="6">
        <v>2023001</v>
      </c>
      <c r="D14" s="16" t="s">
        <v>15</v>
      </c>
      <c r="E14" s="5">
        <v>1250</v>
      </c>
      <c r="F14" s="19">
        <v>131.4</v>
      </c>
      <c r="H14" s="36"/>
    </row>
    <row r="15" spans="1:9" ht="15" customHeight="1" x14ac:dyDescent="0.3">
      <c r="A15" s="4">
        <f t="shared" si="0"/>
        <v>13</v>
      </c>
      <c r="B15" s="1">
        <v>8964002695942</v>
      </c>
      <c r="C15" s="7">
        <v>2021010</v>
      </c>
      <c r="D15" s="16" t="s">
        <v>18</v>
      </c>
      <c r="E15" s="5">
        <v>2250</v>
      </c>
      <c r="F15" s="19">
        <v>21.6</v>
      </c>
      <c r="H15" s="36"/>
    </row>
    <row r="16" spans="1:9" ht="15" customHeight="1" x14ac:dyDescent="0.3">
      <c r="A16" s="4">
        <f t="shared" si="0"/>
        <v>14</v>
      </c>
      <c r="B16" s="1">
        <v>8964002695263</v>
      </c>
      <c r="C16" s="7">
        <v>2021005</v>
      </c>
      <c r="D16" s="16" t="s">
        <v>17</v>
      </c>
      <c r="E16" s="5">
        <v>1299</v>
      </c>
      <c r="F16" s="19">
        <v>120.6</v>
      </c>
      <c r="H16" s="36"/>
    </row>
    <row r="17" spans="1:9" ht="15" customHeight="1" x14ac:dyDescent="0.3">
      <c r="A17" s="4">
        <f t="shared" si="0"/>
        <v>15</v>
      </c>
      <c r="B17" s="1">
        <v>8964002695959</v>
      </c>
      <c r="C17" s="7">
        <v>2021006</v>
      </c>
      <c r="D17" s="16" t="s">
        <v>19</v>
      </c>
      <c r="E17" s="5">
        <v>1999</v>
      </c>
      <c r="F17" s="19">
        <v>45</v>
      </c>
      <c r="H17" s="36"/>
    </row>
    <row r="18" spans="1:9" ht="15" customHeight="1" x14ac:dyDescent="0.3">
      <c r="A18" s="4">
        <f t="shared" si="0"/>
        <v>16</v>
      </c>
      <c r="B18" s="1">
        <v>8964002695058</v>
      </c>
      <c r="C18" s="7"/>
      <c r="D18" s="16" t="s">
        <v>20</v>
      </c>
      <c r="E18" s="5">
        <v>1499</v>
      </c>
      <c r="F18" s="19">
        <v>61.2</v>
      </c>
      <c r="H18" s="36"/>
    </row>
    <row r="19" spans="1:9" ht="15" customHeight="1" x14ac:dyDescent="0.3">
      <c r="A19" s="4">
        <f t="shared" si="0"/>
        <v>17</v>
      </c>
      <c r="B19" s="1">
        <v>8964002695102</v>
      </c>
      <c r="C19" s="9">
        <v>2021015</v>
      </c>
      <c r="D19" s="16" t="s">
        <v>21</v>
      </c>
      <c r="E19" s="5">
        <v>999</v>
      </c>
      <c r="F19" s="19">
        <v>84.6</v>
      </c>
      <c r="H19" s="36"/>
    </row>
    <row r="20" spans="1:9" ht="15" customHeight="1" x14ac:dyDescent="0.3">
      <c r="A20" s="4">
        <f t="shared" si="0"/>
        <v>18</v>
      </c>
      <c r="B20" s="1">
        <v>8964002695102</v>
      </c>
      <c r="C20" s="9">
        <v>2021014</v>
      </c>
      <c r="D20" s="16" t="s">
        <v>22</v>
      </c>
      <c r="E20" s="5">
        <v>999</v>
      </c>
      <c r="F20" s="19">
        <v>39.6</v>
      </c>
      <c r="H20" s="36"/>
      <c r="I20" s="10"/>
    </row>
    <row r="21" spans="1:9" ht="15" customHeight="1" x14ac:dyDescent="0.3">
      <c r="A21" s="4">
        <f t="shared" si="0"/>
        <v>19</v>
      </c>
      <c r="B21" s="1">
        <v>8964002695102</v>
      </c>
      <c r="C21" s="9">
        <v>2021013</v>
      </c>
      <c r="D21" s="16" t="s">
        <v>23</v>
      </c>
      <c r="E21" s="5">
        <v>999</v>
      </c>
      <c r="F21" s="19">
        <v>190.8</v>
      </c>
      <c r="H21" s="36"/>
    </row>
    <row r="22" spans="1:9" ht="15" customHeight="1" x14ac:dyDescent="0.3">
      <c r="A22" s="4">
        <f t="shared" si="0"/>
        <v>20</v>
      </c>
      <c r="B22" s="1">
        <v>8964002695102</v>
      </c>
      <c r="C22" s="7">
        <v>2021020</v>
      </c>
      <c r="D22" s="16" t="s">
        <v>28</v>
      </c>
      <c r="E22" s="5"/>
      <c r="F22" s="19">
        <v>338.4</v>
      </c>
      <c r="H22" s="36"/>
    </row>
    <row r="23" spans="1:9" ht="15" customHeight="1" x14ac:dyDescent="0.3">
      <c r="A23" s="4">
        <f t="shared" si="0"/>
        <v>21</v>
      </c>
      <c r="B23" s="1">
        <v>8964002695102</v>
      </c>
      <c r="C23" s="7">
        <v>2021019</v>
      </c>
      <c r="D23" s="16" t="s">
        <v>29</v>
      </c>
      <c r="E23" s="5"/>
      <c r="F23" s="19">
        <v>243</v>
      </c>
      <c r="H23" s="36"/>
    </row>
    <row r="24" spans="1:9" ht="15" customHeight="1" x14ac:dyDescent="0.3">
      <c r="A24" s="4">
        <f t="shared" si="0"/>
        <v>22</v>
      </c>
      <c r="B24" s="1">
        <v>8964002695096</v>
      </c>
      <c r="C24" s="7">
        <v>2021008</v>
      </c>
      <c r="D24" s="16" t="s">
        <v>24</v>
      </c>
      <c r="E24" s="5">
        <v>2799</v>
      </c>
      <c r="F24" s="19">
        <v>42.3</v>
      </c>
      <c r="H24" s="36"/>
    </row>
    <row r="25" spans="1:9" ht="15" customHeight="1" x14ac:dyDescent="0.3">
      <c r="A25" s="4">
        <f t="shared" si="0"/>
        <v>23</v>
      </c>
      <c r="B25" s="1">
        <v>8964002695683</v>
      </c>
      <c r="C25" s="6">
        <v>2022003</v>
      </c>
      <c r="D25" s="16" t="s">
        <v>25</v>
      </c>
      <c r="E25" s="5">
        <v>1999</v>
      </c>
      <c r="F25" s="19">
        <v>28.8</v>
      </c>
      <c r="H25" s="36"/>
    </row>
    <row r="26" spans="1:9" ht="15" customHeight="1" x14ac:dyDescent="0.3">
      <c r="A26" s="4">
        <f t="shared" si="0"/>
        <v>24</v>
      </c>
      <c r="B26" s="1">
        <v>8964002695409</v>
      </c>
      <c r="C26" s="7">
        <v>2021009</v>
      </c>
      <c r="D26" s="16" t="s">
        <v>26</v>
      </c>
      <c r="E26" s="5">
        <v>2250</v>
      </c>
      <c r="F26" s="19">
        <v>40.5</v>
      </c>
      <c r="H26" s="36"/>
    </row>
    <row r="27" spans="1:9" ht="15" customHeight="1" x14ac:dyDescent="0.3">
      <c r="A27" s="4">
        <f t="shared" si="0"/>
        <v>25</v>
      </c>
      <c r="B27" s="1">
        <v>8964002695621</v>
      </c>
      <c r="C27" s="7">
        <v>2021011</v>
      </c>
      <c r="D27" s="16" t="s">
        <v>27</v>
      </c>
      <c r="E27" s="5">
        <v>2199</v>
      </c>
      <c r="F27" s="19">
        <v>20.7</v>
      </c>
      <c r="H27" s="36"/>
    </row>
    <row r="28" spans="1:9" ht="15" customHeight="1" x14ac:dyDescent="0.3">
      <c r="A28" s="4">
        <f t="shared" si="0"/>
        <v>26</v>
      </c>
      <c r="B28" s="1">
        <v>8964002695447</v>
      </c>
      <c r="C28" s="7">
        <v>2021012</v>
      </c>
      <c r="D28" s="16" t="s">
        <v>16</v>
      </c>
      <c r="E28" s="5">
        <v>3099</v>
      </c>
      <c r="F28" s="19">
        <v>24.3</v>
      </c>
      <c r="H28" s="36"/>
    </row>
    <row r="29" spans="1:9" ht="15" customHeight="1" x14ac:dyDescent="0.3">
      <c r="A29" s="4">
        <f t="shared" si="0"/>
        <v>27</v>
      </c>
      <c r="B29" s="1">
        <v>8964002695157</v>
      </c>
      <c r="C29" s="6">
        <v>2023002</v>
      </c>
      <c r="D29" s="16" t="s">
        <v>7</v>
      </c>
      <c r="E29" s="5">
        <v>1999</v>
      </c>
      <c r="F29" s="19">
        <v>96.3</v>
      </c>
      <c r="H29" s="36"/>
    </row>
    <row r="30" spans="1:9" ht="15" customHeight="1" x14ac:dyDescent="0.3">
      <c r="A30" s="4">
        <f t="shared" si="0"/>
        <v>28</v>
      </c>
      <c r="B30" s="1">
        <v>8964002695072</v>
      </c>
      <c r="C30" s="7">
        <v>2021023</v>
      </c>
      <c r="D30" s="16" t="s">
        <v>30</v>
      </c>
      <c r="E30" s="5"/>
      <c r="F30" s="19">
        <v>11.7</v>
      </c>
      <c r="H30" s="36"/>
    </row>
    <row r="31" spans="1:9" ht="15" customHeight="1" x14ac:dyDescent="0.3">
      <c r="A31" s="4">
        <f t="shared" si="0"/>
        <v>29</v>
      </c>
      <c r="B31" s="1">
        <v>8964002695072</v>
      </c>
      <c r="C31" s="7">
        <v>2021023</v>
      </c>
      <c r="D31" s="16" t="s">
        <v>31</v>
      </c>
      <c r="E31" s="5"/>
      <c r="F31" s="19">
        <v>14.4</v>
      </c>
      <c r="H31" s="36"/>
    </row>
    <row r="32" spans="1:9" ht="15" customHeight="1" x14ac:dyDescent="0.3">
      <c r="A32" s="4">
        <f t="shared" si="0"/>
        <v>30</v>
      </c>
      <c r="B32" s="1">
        <v>8964002695072</v>
      </c>
      <c r="C32" s="7">
        <v>2021023</v>
      </c>
      <c r="D32" s="16" t="s">
        <v>32</v>
      </c>
      <c r="E32" s="5"/>
      <c r="F32" s="19">
        <v>61.2</v>
      </c>
      <c r="H32" s="36"/>
    </row>
    <row r="33" spans="1:8" ht="15" customHeight="1" x14ac:dyDescent="0.3">
      <c r="A33" s="4">
        <f t="shared" si="0"/>
        <v>31</v>
      </c>
      <c r="B33" s="1">
        <v>8964002695072</v>
      </c>
      <c r="C33" s="7">
        <v>2021023</v>
      </c>
      <c r="D33" s="16" t="s">
        <v>33</v>
      </c>
      <c r="E33" s="5"/>
      <c r="F33" s="19">
        <v>30.6</v>
      </c>
      <c r="H33" s="36"/>
    </row>
    <row r="34" spans="1:8" ht="15" customHeight="1" x14ac:dyDescent="0.3">
      <c r="A34" s="4">
        <f t="shared" si="0"/>
        <v>32</v>
      </c>
      <c r="B34" s="1">
        <v>8964002695072</v>
      </c>
      <c r="C34" s="7">
        <v>2021023</v>
      </c>
      <c r="D34" s="16" t="s">
        <v>34</v>
      </c>
      <c r="E34" s="5"/>
      <c r="F34" s="19">
        <v>28.8</v>
      </c>
      <c r="H34" s="36"/>
    </row>
    <row r="35" spans="1:8" ht="15" customHeight="1" x14ac:dyDescent="0.3">
      <c r="A35" s="4">
        <f t="shared" si="0"/>
        <v>33</v>
      </c>
      <c r="B35" s="1">
        <v>8964002695072</v>
      </c>
      <c r="C35" s="7">
        <v>2021023</v>
      </c>
      <c r="D35" s="16" t="s">
        <v>35</v>
      </c>
      <c r="E35" s="5"/>
      <c r="F35" s="19">
        <v>12.6</v>
      </c>
      <c r="H35" s="36"/>
    </row>
    <row r="36" spans="1:8" ht="15" customHeight="1" x14ac:dyDescent="0.3">
      <c r="A36" s="4">
        <f t="shared" si="0"/>
        <v>34</v>
      </c>
      <c r="B36" s="1">
        <v>8964002695072</v>
      </c>
      <c r="C36" s="7">
        <v>2021023</v>
      </c>
      <c r="D36" s="16" t="s">
        <v>36</v>
      </c>
      <c r="E36" s="5"/>
      <c r="F36" s="19">
        <v>48.6</v>
      </c>
      <c r="H36" s="36"/>
    </row>
    <row r="37" spans="1:8" ht="15" customHeight="1" x14ac:dyDescent="0.3">
      <c r="A37" s="4">
        <f t="shared" si="0"/>
        <v>35</v>
      </c>
      <c r="B37" s="1">
        <v>8964002695072</v>
      </c>
      <c r="C37" s="7">
        <v>2021023</v>
      </c>
      <c r="D37" s="16" t="s">
        <v>40</v>
      </c>
      <c r="E37" s="5"/>
      <c r="F37" s="19">
        <v>10.8</v>
      </c>
      <c r="H37" s="36"/>
    </row>
    <row r="38" spans="1:8" ht="15" customHeight="1" x14ac:dyDescent="0.3">
      <c r="A38" s="4">
        <f t="shared" si="0"/>
        <v>36</v>
      </c>
      <c r="B38" s="1">
        <v>8964002695072</v>
      </c>
      <c r="C38" s="7">
        <v>2021023</v>
      </c>
      <c r="D38" s="16" t="s">
        <v>41</v>
      </c>
      <c r="E38" s="5"/>
      <c r="F38" s="19">
        <v>67.5</v>
      </c>
      <c r="H38" s="36"/>
    </row>
    <row r="39" spans="1:8" ht="15" customHeight="1" x14ac:dyDescent="0.3">
      <c r="A39" s="4">
        <f t="shared" si="0"/>
        <v>37</v>
      </c>
      <c r="B39" s="1">
        <v>8964002695386</v>
      </c>
      <c r="C39" s="7">
        <v>2023005</v>
      </c>
      <c r="D39" s="16" t="s">
        <v>42</v>
      </c>
      <c r="E39" s="5"/>
      <c r="F39" s="19">
        <v>34.200000000000003</v>
      </c>
      <c r="H39" s="36"/>
    </row>
    <row r="40" spans="1:8" ht="15" customHeight="1" x14ac:dyDescent="0.3">
      <c r="A40" s="4">
        <f t="shared" si="0"/>
        <v>38</v>
      </c>
      <c r="B40" s="21"/>
      <c r="C40" t="s">
        <v>57</v>
      </c>
      <c r="D40" s="16" t="s">
        <v>50</v>
      </c>
      <c r="E40" s="22"/>
      <c r="F40" s="19">
        <v>10.8</v>
      </c>
      <c r="H40" s="36"/>
    </row>
    <row r="41" spans="1:8" ht="15" customHeight="1" x14ac:dyDescent="0.3">
      <c r="A41" s="24">
        <f t="shared" si="0"/>
        <v>39</v>
      </c>
      <c r="B41" s="22"/>
      <c r="C41" t="s">
        <v>58</v>
      </c>
      <c r="D41" s="16" t="s">
        <v>43</v>
      </c>
      <c r="E41" s="22"/>
      <c r="F41" s="19">
        <v>151.19999999999999</v>
      </c>
      <c r="H41" s="36"/>
    </row>
    <row r="42" spans="1:8" ht="15" customHeight="1" x14ac:dyDescent="0.3">
      <c r="A42" s="24">
        <f t="shared" si="0"/>
        <v>40</v>
      </c>
      <c r="B42" s="22"/>
      <c r="C42" t="s">
        <v>59</v>
      </c>
      <c r="D42" s="16" t="s">
        <v>44</v>
      </c>
      <c r="E42" s="22"/>
      <c r="F42" s="19">
        <v>348.3</v>
      </c>
      <c r="H42" s="36"/>
    </row>
    <row r="43" spans="1:8" ht="15" customHeight="1" x14ac:dyDescent="0.3">
      <c r="A43" s="24">
        <f t="shared" si="0"/>
        <v>41</v>
      </c>
      <c r="B43" s="22"/>
      <c r="C43" t="s">
        <v>60</v>
      </c>
      <c r="D43" s="16" t="s">
        <v>45</v>
      </c>
      <c r="E43" s="22"/>
      <c r="F43" s="19">
        <v>43.2</v>
      </c>
      <c r="H43" s="36"/>
    </row>
    <row r="44" spans="1:8" ht="15" customHeight="1" x14ac:dyDescent="0.3">
      <c r="A44" s="24">
        <f t="shared" si="0"/>
        <v>42</v>
      </c>
      <c r="B44" s="22"/>
      <c r="C44" t="s">
        <v>61</v>
      </c>
      <c r="D44" s="16" t="s">
        <v>46</v>
      </c>
      <c r="E44" s="22"/>
      <c r="F44" s="19">
        <v>33.299999999999997</v>
      </c>
      <c r="H44" s="36"/>
    </row>
    <row r="45" spans="1:8" ht="15" customHeight="1" x14ac:dyDescent="0.3">
      <c r="A45" s="24">
        <f t="shared" si="0"/>
        <v>43</v>
      </c>
      <c r="B45" s="22"/>
      <c r="C45" t="s">
        <v>62</v>
      </c>
      <c r="D45" s="16" t="s">
        <v>47</v>
      </c>
      <c r="E45" s="22"/>
      <c r="F45" s="19">
        <v>30.6</v>
      </c>
      <c r="H45" s="36"/>
    </row>
    <row r="46" spans="1:8" ht="15" customHeight="1" x14ac:dyDescent="0.3">
      <c r="A46" s="24">
        <f t="shared" si="0"/>
        <v>44</v>
      </c>
      <c r="B46" s="22"/>
      <c r="C46" t="s">
        <v>63</v>
      </c>
      <c r="D46" s="16" t="s">
        <v>48</v>
      </c>
      <c r="E46" s="22"/>
      <c r="F46" s="19">
        <v>3.6</v>
      </c>
      <c r="H46" s="36"/>
    </row>
    <row r="47" spans="1:8" ht="15" customHeight="1" x14ac:dyDescent="0.3">
      <c r="A47" s="24">
        <f t="shared" si="0"/>
        <v>45</v>
      </c>
      <c r="B47" s="22"/>
      <c r="C47" t="s">
        <v>64</v>
      </c>
      <c r="D47" s="16" t="s">
        <v>49</v>
      </c>
      <c r="E47" s="22"/>
      <c r="F47" s="19">
        <v>54</v>
      </c>
      <c r="H47" s="36"/>
    </row>
    <row r="48" spans="1:8" ht="15" customHeight="1" x14ac:dyDescent="0.3">
      <c r="A48" s="31">
        <f t="shared" si="0"/>
        <v>46</v>
      </c>
      <c r="B48" s="32"/>
      <c r="C48" t="s">
        <v>65</v>
      </c>
      <c r="D48" s="33" t="s">
        <v>52</v>
      </c>
      <c r="E48" s="32"/>
      <c r="F48" s="34">
        <v>64.8</v>
      </c>
      <c r="H48" s="36"/>
    </row>
    <row r="49" spans="1:9" ht="15" customHeight="1" x14ac:dyDescent="0.3">
      <c r="A49" s="31">
        <f t="shared" si="0"/>
        <v>47</v>
      </c>
      <c r="B49" s="32"/>
      <c r="C49" s="32" t="s">
        <v>66</v>
      </c>
      <c r="D49" s="33" t="s">
        <v>53</v>
      </c>
      <c r="E49" s="32"/>
      <c r="F49" s="34">
        <v>26.1</v>
      </c>
      <c r="H49" s="36"/>
    </row>
    <row r="50" spans="1:9" ht="15" customHeight="1" thickBot="1" x14ac:dyDescent="0.35">
      <c r="A50" s="25">
        <f t="shared" si="0"/>
        <v>48</v>
      </c>
      <c r="B50" s="26"/>
      <c r="C50" t="s">
        <v>67</v>
      </c>
      <c r="D50" s="17" t="s">
        <v>51</v>
      </c>
      <c r="E50" s="26"/>
      <c r="F50" s="27">
        <v>7.2</v>
      </c>
      <c r="H50" s="36"/>
    </row>
    <row r="51" spans="1:9" ht="15" thickBot="1" x14ac:dyDescent="0.35">
      <c r="A51" s="28"/>
      <c r="B51" s="29"/>
      <c r="C51" s="29"/>
      <c r="D51" s="29"/>
      <c r="E51" s="29"/>
      <c r="F51" s="30">
        <f>SUM(F3:F50)</f>
        <v>3003.2999999999997</v>
      </c>
      <c r="I51" s="20"/>
    </row>
    <row r="52" spans="1:9" x14ac:dyDescent="0.3">
      <c r="D52" s="35" t="s">
        <v>54</v>
      </c>
      <c r="I52" s="20"/>
    </row>
    <row r="53" spans="1:9" x14ac:dyDescent="0.3">
      <c r="D53" s="35" t="s">
        <v>55</v>
      </c>
      <c r="F53">
        <v>89</v>
      </c>
    </row>
    <row r="54" spans="1:9" x14ac:dyDescent="0.3">
      <c r="F54" s="20">
        <f>F51+F53</f>
        <v>3092.2999999999997</v>
      </c>
    </row>
  </sheetData>
  <mergeCells count="1">
    <mergeCell ref="A1:F1"/>
  </mergeCells>
  <conditionalFormatting sqref="C40:C50">
    <cfRule type="duplicateValues" dxfId="1" priority="2"/>
  </conditionalFormatting>
  <conditionalFormatting sqref="C39">
    <cfRule type="duplicateValues" dxfId="0" priority="1"/>
  </conditionalFormatting>
  <pageMargins left="0.7" right="0.7" top="0.75" bottom="0.75" header="0.3" footer="0.3"/>
  <pageSetup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2025-02-03T07:53:23Z</cp:lastPrinted>
  <dcterms:created xsi:type="dcterms:W3CDTF">2025-01-13T08:41:35Z</dcterms:created>
  <dcterms:modified xsi:type="dcterms:W3CDTF">2026-09-16T10:50:45Z</dcterms:modified>
</cp:coreProperties>
</file>