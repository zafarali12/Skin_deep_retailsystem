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571D94C-DC62-419A-9D92-BF4CA0D1D0EF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UMMARY" sheetId="5" r:id="rId1"/>
    <sheet name="All Sheets Detail" sheetId="2" r:id="rId2"/>
    <sheet name="FOC Value" sheetId="6" r:id="rId3"/>
  </sheets>
  <definedNames>
    <definedName name="_xlnm._FilterDatabase" localSheetId="1" hidden="1">'All Sheets Detail'!$A$1:$G$43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6" l="1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30" i="6" l="1"/>
  <c r="H40" i="2" l="1"/>
  <c r="H39" i="2"/>
  <c r="H37" i="2"/>
  <c r="H2" i="2"/>
  <c r="E26" i="5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41" i="2"/>
  <c r="I41" i="2" s="1"/>
  <c r="I37" i="2" l="1"/>
  <c r="B49" i="2" l="1"/>
  <c r="B66" i="2"/>
  <c r="B63" i="2"/>
  <c r="B62" i="2"/>
  <c r="B61" i="2"/>
  <c r="B60" i="2"/>
  <c r="B59" i="2"/>
  <c r="B55" i="2"/>
  <c r="B54" i="2"/>
  <c r="B53" i="2"/>
  <c r="B51" i="2"/>
  <c r="B50" i="2"/>
  <c r="B47" i="2"/>
  <c r="B68" i="2"/>
  <c r="F43" i="2"/>
  <c r="I26" i="5"/>
  <c r="H26" i="5"/>
  <c r="J25" i="5"/>
  <c r="J24" i="5"/>
  <c r="L23" i="5"/>
  <c r="J23" i="5"/>
  <c r="J22" i="5"/>
  <c r="J15" i="5"/>
  <c r="J10" i="5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L5" i="5"/>
  <c r="J5" i="5"/>
  <c r="C43" i="2"/>
  <c r="G43" i="2"/>
  <c r="D43" i="2"/>
  <c r="L26" i="5" l="1"/>
  <c r="B73" i="2"/>
  <c r="E43" i="2" l="1"/>
</calcChain>
</file>

<file path=xl/sharedStrings.xml><?xml version="1.0" encoding="utf-8"?>
<sst xmlns="http://schemas.openxmlformats.org/spreadsheetml/2006/main" count="306" uniqueCount="168">
  <si>
    <t>Buyer</t>
  </si>
  <si>
    <t>Total Units</t>
  </si>
  <si>
    <t>Total Value With Sales Tax</t>
  </si>
  <si>
    <t>Total Value After Discount</t>
  </si>
  <si>
    <t>Jalal Sons</t>
  </si>
  <si>
    <t>ZUBAIDA Associates</t>
  </si>
  <si>
    <t>Carrefour</t>
  </si>
  <si>
    <t>Shams Shopping Center</t>
  </si>
  <si>
    <t>Naheed Super Market</t>
  </si>
  <si>
    <t>Grand Total</t>
  </si>
  <si>
    <t>Sheet / Invoice</t>
  </si>
  <si>
    <t>Sales Tax</t>
  </si>
  <si>
    <t>JSASK S 1426</t>
  </si>
  <si>
    <t>JSMMKT 1427</t>
  </si>
  <si>
    <t>JS ASK S 1429</t>
  </si>
  <si>
    <t>JSASK S 1433</t>
  </si>
  <si>
    <t>JSASK F 1434</t>
  </si>
  <si>
    <t>JSLC 1435</t>
  </si>
  <si>
    <t>JS IZMIR 1436</t>
  </si>
  <si>
    <t>JS MMKT 1438</t>
  </si>
  <si>
    <t>1463 CRST</t>
  </si>
  <si>
    <t xml:space="preserve"> 1464 JTEX</t>
  </si>
  <si>
    <t>1465 FSDK</t>
  </si>
  <si>
    <t>1467 AFDML</t>
  </si>
  <si>
    <t>1468 JTEX</t>
  </si>
  <si>
    <t>1469 HCL1</t>
  </si>
  <si>
    <t>1470 CRST</t>
  </si>
  <si>
    <t>1471 FSDK</t>
  </si>
  <si>
    <t>1472 CRST</t>
  </si>
  <si>
    <t>1473 JTEX</t>
  </si>
  <si>
    <t>1474 FSDK</t>
  </si>
  <si>
    <t>1475 AFISDC</t>
  </si>
  <si>
    <t>1476 JTEX</t>
  </si>
  <si>
    <t>1477 HCL1</t>
  </si>
  <si>
    <t>Shams 1489</t>
  </si>
  <si>
    <t>Shams 1493</t>
  </si>
  <si>
    <t>NAHEED AUG 26 1494</t>
  </si>
  <si>
    <t>HIGHFY</t>
  </si>
  <si>
    <t>1482 FORTRESS</t>
  </si>
  <si>
    <t>1483 FORTRESS</t>
  </si>
  <si>
    <t>1484 FORTRESS</t>
  </si>
  <si>
    <t>1485 LUCKY ONE</t>
  </si>
  <si>
    <t>1486 LUCKY ONE</t>
  </si>
  <si>
    <t>1487 EMPORIUM</t>
  </si>
  <si>
    <t>1489 GIGA</t>
  </si>
  <si>
    <t>1491 FORTRESS</t>
  </si>
  <si>
    <t>1492 PACKAGES</t>
  </si>
  <si>
    <t>FORTRESS</t>
  </si>
  <si>
    <t>PACKAGES</t>
  </si>
  <si>
    <t>EMPORIUM</t>
  </si>
  <si>
    <t>GIGA</t>
  </si>
  <si>
    <t>LUCKY</t>
  </si>
  <si>
    <t>1481  EMPORIUM</t>
  </si>
  <si>
    <t>1488 GIGA</t>
  </si>
  <si>
    <t>Dolmen Cart</t>
  </si>
  <si>
    <t>Store Wise</t>
  </si>
  <si>
    <t>Value</t>
  </si>
  <si>
    <t>JS ASKARI S</t>
  </si>
  <si>
    <t>JS ASKARI F</t>
  </si>
  <si>
    <t>JS MMKT</t>
  </si>
  <si>
    <t>JSLC</t>
  </si>
  <si>
    <t>JS IZMIR</t>
  </si>
  <si>
    <t>JTEX</t>
  </si>
  <si>
    <t>HCL</t>
  </si>
  <si>
    <t>CRST</t>
  </si>
  <si>
    <t>FSDK</t>
  </si>
  <si>
    <t>ISDC</t>
  </si>
  <si>
    <t>1466 AFISDC</t>
  </si>
  <si>
    <t>AFDML</t>
  </si>
  <si>
    <t>SHAMS</t>
  </si>
  <si>
    <t>NAHEED</t>
  </si>
  <si>
    <t xml:space="preserve">Value after Tax </t>
  </si>
  <si>
    <t>SD RETAIL STORE LIST SUMMARY 2026</t>
  </si>
  <si>
    <t>Sr no.</t>
  </si>
  <si>
    <t>Store Name</t>
  </si>
  <si>
    <t>Acc</t>
  </si>
  <si>
    <t>Location</t>
  </si>
  <si>
    <t>Region</t>
  </si>
  <si>
    <t>Total</t>
  </si>
  <si>
    <t>SALES VALUE</t>
  </si>
  <si>
    <t>Total units</t>
  </si>
  <si>
    <t>AVG</t>
  </si>
  <si>
    <t>CF PCK</t>
  </si>
  <si>
    <t xml:space="preserve">WALTON </t>
  </si>
  <si>
    <t>LHR</t>
  </si>
  <si>
    <t>Retail</t>
  </si>
  <si>
    <t>CF FRT</t>
  </si>
  <si>
    <t>CANTT</t>
  </si>
  <si>
    <t>CF EMP</t>
  </si>
  <si>
    <t>JOHARTOWN</t>
  </si>
  <si>
    <t>CFWTC</t>
  </si>
  <si>
    <t>ISB</t>
  </si>
  <si>
    <t>-</t>
  </si>
  <si>
    <t>CFLU1</t>
  </si>
  <si>
    <t>KHI</t>
  </si>
  <si>
    <t>GULBERG</t>
  </si>
  <si>
    <t>JS IZM</t>
  </si>
  <si>
    <t>IZMIR TWN</t>
  </si>
  <si>
    <t>JS LC</t>
  </si>
  <si>
    <t>LAKE CITY</t>
  </si>
  <si>
    <t xml:space="preserve">JS ASK-X S </t>
  </si>
  <si>
    <t>ASKARI 10</t>
  </si>
  <si>
    <t>JS ASK-X F(Old)</t>
  </si>
  <si>
    <t>AF GCRT</t>
  </si>
  <si>
    <t>DHA Y BLOCK</t>
  </si>
  <si>
    <t>AF HCL</t>
  </si>
  <si>
    <t>AF JTEX</t>
  </si>
  <si>
    <t>AF DML</t>
  </si>
  <si>
    <t>DOLMEN MALL</t>
  </si>
  <si>
    <t xml:space="preserve">AF FSD </t>
  </si>
  <si>
    <t>KOHINOOR MALL FSD</t>
  </si>
  <si>
    <t>FSD</t>
  </si>
  <si>
    <t>AF SKT</t>
  </si>
  <si>
    <t>V MALL, SAILKOT</t>
  </si>
  <si>
    <t>SKT</t>
  </si>
  <si>
    <t>AF CENT</t>
  </si>
  <si>
    <t>KARACHI</t>
  </si>
  <si>
    <t>Etail</t>
  </si>
  <si>
    <t>SD DML CART</t>
  </si>
  <si>
    <t>Cart</t>
  </si>
  <si>
    <t>Grand Sale</t>
  </si>
  <si>
    <t>DML CART</t>
  </si>
  <si>
    <t>TOTAL</t>
  </si>
  <si>
    <t>commission</t>
  </si>
  <si>
    <t>Commission</t>
  </si>
  <si>
    <t>STORES COMMISSION</t>
  </si>
  <si>
    <t>Carrefour 28.5% = 104,823</t>
  </si>
  <si>
    <t>SHAMS 25% = 504,36.5</t>
  </si>
  <si>
    <t>NAHEED 32% = 86,563.53</t>
  </si>
  <si>
    <t>HIGHFY 15% = 130,030</t>
  </si>
  <si>
    <t>Jalalson's 23% = 53,755.6</t>
  </si>
  <si>
    <t>ALFATAH 30% = 442,166.4</t>
  </si>
  <si>
    <t>Discount= 51,842</t>
  </si>
  <si>
    <t>Invoice No.</t>
  </si>
  <si>
    <t>Buyer/Department</t>
  </si>
  <si>
    <t>Barcode</t>
  </si>
  <si>
    <t>Product Name</t>
  </si>
  <si>
    <t>Quantity</t>
  </si>
  <si>
    <t>Status</t>
  </si>
  <si>
    <t>VALUE</t>
  </si>
  <si>
    <t>Rs-1431</t>
  </si>
  <si>
    <t>DML / Skin Deep</t>
  </si>
  <si>
    <t>SD LINER CINNAMON</t>
  </si>
  <si>
    <t>FOC</t>
  </si>
  <si>
    <t>SD LINER TOASTED BROWN</t>
  </si>
  <si>
    <t>SD LINER VIVID PINK</t>
  </si>
  <si>
    <t>SD LINER ROSEWOOD</t>
  </si>
  <si>
    <t>SD SG-01 POWDER</t>
  </si>
  <si>
    <t>SD MINI GYCOLIC TONER</t>
  </si>
  <si>
    <t>SD GLOSS POP RUBY SPRK</t>
  </si>
  <si>
    <t>SD GLOSS POP CHERY SPRK</t>
  </si>
  <si>
    <t>SD GLOSS POP BERRY SPRK</t>
  </si>
  <si>
    <t>SD GLOSS POP MOCHA SPRK</t>
  </si>
  <si>
    <t>Rs-1430</t>
  </si>
  <si>
    <t>Tester</t>
  </si>
  <si>
    <t>SD DREAM GLAZE</t>
  </si>
  <si>
    <t>SD GLOSS POP CLEAN</t>
  </si>
  <si>
    <t>SD GLOSS POP ROSY SPRK</t>
  </si>
  <si>
    <t>SD GLOSS POP ROSY</t>
  </si>
  <si>
    <t>SD GLOSS POP RUBY</t>
  </si>
  <si>
    <t>SD GLOSS POP BERRY</t>
  </si>
  <si>
    <t>SD GLOSS POP MOCHA</t>
  </si>
  <si>
    <t>SD VELVET FLUSH ROSY MUV</t>
  </si>
  <si>
    <t>SD GLOSS POP COTTON CANDY</t>
  </si>
  <si>
    <t>SD GLOSS POP COTTON CANDY SPRK</t>
  </si>
  <si>
    <t>SD BARRIER SUNSCREEN SPF 30</t>
  </si>
  <si>
    <t>SD SG01 POWDER</t>
  </si>
  <si>
    <t>TOTAL NON-SALES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</si>
</sst>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AF7"/>
      </patternFill>
    </fill>
  </fills>
  <borders count="31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medium">
        <color rgb="FF1F4E7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4">
    <xf numFmtId="0" fontId="0" fillId="0" borderId="0"/>
    <xf numFmtId="0" fontId="4" fillId="8" borderId="0" applyNumberFormat="0" applyBorder="0" applyAlignment="0" applyProtection="0"/>
    <xf numFmtId="43" fontId="5" fillId="0" borderId="0" applyFont="0" applyFill="0" applyBorder="0" applyAlignment="0" applyProtection="0"/>
    <xf numFmtId="0" fontId="6" fillId="9" borderId="0" applyNumberFormat="0" applyBorder="0" applyAlignment="0" applyProtection="0"/>
  </cellStyleXfs>
  <cellXfs count="10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/>
    <xf numFmtId="0" fontId="3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7" borderId="2" xfId="0" applyFont="1" applyFill="1" applyBorder="1"/>
    <xf numFmtId="0" fontId="0" fillId="0" borderId="0" xfId="0" applyAlignment="1">
      <alignment horizontal="left"/>
    </xf>
    <xf numFmtId="0" fontId="4" fillId="8" borderId="1" xfId="1" applyBorder="1"/>
    <xf numFmtId="0" fontId="6" fillId="9" borderId="0" xfId="3"/>
    <xf numFmtId="1" fontId="0" fillId="0" borderId="1" xfId="0" applyNumberFormat="1" applyBorder="1"/>
    <xf numFmtId="0" fontId="7" fillId="2" borderId="0" xfId="0" applyFont="1" applyFill="1" applyAlignment="1">
      <alignment horizontal="center" vertical="center" wrapText="1"/>
    </xf>
    <xf numFmtId="0" fontId="6" fillId="9" borderId="1" xfId="3" applyBorder="1"/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15" fillId="0" borderId="13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0" fillId="11" borderId="3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0" fillId="11" borderId="3" xfId="2" applyNumberFormat="1" applyFont="1" applyFill="1" applyBorder="1" applyAlignment="1">
      <alignment vertical="center"/>
    </xf>
    <xf numFmtId="164" fontId="0" fillId="0" borderId="3" xfId="2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64" fontId="16" fillId="12" borderId="3" xfId="0" applyNumberFormat="1" applyFont="1" applyFill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0" fontId="2" fillId="12" borderId="2" xfId="0" applyFont="1" applyFill="1" applyBorder="1"/>
    <xf numFmtId="0" fontId="17" fillId="3" borderId="19" xfId="0" applyFont="1" applyFill="1" applyBorder="1"/>
    <xf numFmtId="0" fontId="17" fillId="3" borderId="20" xfId="0" applyFont="1" applyFill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4" fontId="0" fillId="0" borderId="18" xfId="2" applyNumberFormat="1" applyFont="1" applyBorder="1" applyAlignment="1">
      <alignment vertical="center"/>
    </xf>
    <xf numFmtId="164" fontId="0" fillId="0" borderId="7" xfId="2" applyNumberFormat="1" applyFont="1" applyBorder="1" applyAlignment="1">
      <alignment vertical="center"/>
    </xf>
    <xf numFmtId="164" fontId="0" fillId="0" borderId="17" xfId="2" applyNumberFormat="1" applyFont="1" applyBorder="1" applyAlignment="1">
      <alignment vertical="center"/>
    </xf>
    <xf numFmtId="164" fontId="0" fillId="11" borderId="18" xfId="2" applyNumberFormat="1" applyFont="1" applyFill="1" applyBorder="1" applyAlignment="1">
      <alignment vertical="center"/>
    </xf>
    <xf numFmtId="164" fontId="0" fillId="11" borderId="7" xfId="2" applyNumberFormat="1" applyFont="1" applyFill="1" applyBorder="1" applyAlignment="1">
      <alignment vertical="center"/>
    </xf>
    <xf numFmtId="164" fontId="0" fillId="11" borderId="17" xfId="2" applyNumberFormat="1" applyFont="1" applyFill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4" fontId="0" fillId="0" borderId="14" xfId="2" applyNumberFormat="1" applyFont="1" applyBorder="1" applyAlignment="1">
      <alignment vertical="center"/>
    </xf>
    <xf numFmtId="164" fontId="0" fillId="11" borderId="14" xfId="2" applyNumberFormat="1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1" borderId="13" xfId="0" applyFont="1" applyFill="1" applyBorder="1" applyAlignment="1">
      <alignment horizontal="center" vertical="center"/>
    </xf>
    <xf numFmtId="0" fontId="0" fillId="11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164" fontId="16" fillId="12" borderId="25" xfId="0" applyNumberFormat="1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3" fontId="16" fillId="0" borderId="4" xfId="0" applyNumberFormat="1" applyFont="1" applyBorder="1" applyAlignment="1">
      <alignment horizontal="center" vertical="center"/>
    </xf>
    <xf numFmtId="3" fontId="16" fillId="0" borderId="27" xfId="0" applyNumberFormat="1" applyFont="1" applyBorder="1" applyAlignment="1">
      <alignment horizontal="center" vertical="center"/>
    </xf>
    <xf numFmtId="3" fontId="16" fillId="0" borderId="8" xfId="0" applyNumberFormat="1" applyFont="1" applyBorder="1" applyAlignment="1">
      <alignment horizontal="center" vertical="center"/>
    </xf>
    <xf numFmtId="3" fontId="16" fillId="0" borderId="26" xfId="0" applyNumberFormat="1" applyFont="1" applyBorder="1" applyAlignment="1">
      <alignment horizontal="center" vertical="center"/>
    </xf>
    <xf numFmtId="3" fontId="16" fillId="0" borderId="5" xfId="0" applyNumberFormat="1" applyFont="1" applyBorder="1" applyAlignment="1">
      <alignment horizontal="center" vertical="center"/>
    </xf>
    <xf numFmtId="3" fontId="16" fillId="0" borderId="28" xfId="0" applyNumberFormat="1" applyFont="1" applyBorder="1" applyAlignment="1">
      <alignment horizontal="center" vertical="center"/>
    </xf>
    <xf numFmtId="3" fontId="16" fillId="11" borderId="14" xfId="0" applyNumberFormat="1" applyFont="1" applyFill="1" applyBorder="1" applyAlignment="1">
      <alignment horizontal="center" vertical="center"/>
    </xf>
    <xf numFmtId="3" fontId="16" fillId="11" borderId="7" xfId="0" applyNumberFormat="1" applyFont="1" applyFill="1" applyBorder="1" applyAlignment="1">
      <alignment horizontal="center" vertical="center"/>
    </xf>
    <xf numFmtId="3" fontId="16" fillId="11" borderId="17" xfId="0" applyNumberFormat="1" applyFont="1" applyFill="1" applyBorder="1" applyAlignment="1">
      <alignment horizontal="center" vertical="center"/>
    </xf>
    <xf numFmtId="3" fontId="16" fillId="11" borderId="18" xfId="0" applyNumberFormat="1" applyFont="1" applyFill="1" applyBorder="1" applyAlignment="1">
      <alignment horizontal="center" vertical="center"/>
    </xf>
    <xf numFmtId="3" fontId="16" fillId="11" borderId="3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2" borderId="30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30" xfId="0" applyBorder="1"/>
    <xf numFmtId="3" fontId="0" fillId="0" borderId="30" xfId="0" applyNumberFormat="1" applyBorder="1"/>
    <xf numFmtId="0" fontId="3" fillId="13" borderId="30" xfId="0" applyFont="1" applyFill="1" applyBorder="1"/>
    <xf numFmtId="3" fontId="3" fillId="13" borderId="30" xfId="0" applyNumberFormat="1" applyFont="1" applyFill="1" applyBorder="1"/>
    <xf numFmtId="3" fontId="0" fillId="6" borderId="0" xfId="0" applyNumberFormat="1" applyFill="1"/>
  </cellXfs>
  <cellStyles count="4">
    <cellStyle name="Comma" xfId="2" builtinId="3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8CA4-3F62-46B2-A043-210F2984DD1D}">
  <dimension ref="B2:N29"/>
  <sheetViews>
    <sheetView workbookViewId="0">
      <selection activeCell="M25" sqref="M25:N25"/>
    </sheetView>
  </sheetViews>
  <sheetFormatPr defaultRowHeight="15" x14ac:dyDescent="0.25"/>
  <cols>
    <col min="1" max="1" width="9.140625" style="14"/>
    <col min="2" max="2" width="6.140625" style="14" customWidth="1"/>
    <col min="3" max="3" width="17.42578125" style="14" customWidth="1"/>
    <col min="4" max="4" width="23.42578125" style="14" customWidth="1"/>
    <col min="5" max="5" width="22.140625" style="14" customWidth="1"/>
    <col min="6" max="6" width="17.42578125" style="14" customWidth="1"/>
    <col min="7" max="7" width="8.28515625" style="14" customWidth="1"/>
    <col min="8" max="8" width="17.5703125" style="14" customWidth="1"/>
    <col min="9" max="9" width="14.28515625" style="14" customWidth="1"/>
    <col min="10" max="10" width="10.42578125" style="14" customWidth="1"/>
    <col min="11" max="11" width="11.85546875" style="14" customWidth="1"/>
    <col min="12" max="12" width="22.42578125" style="14" customWidth="1"/>
    <col min="13" max="13" width="9.140625" style="14"/>
    <col min="14" max="14" width="12" style="14" customWidth="1"/>
    <col min="15" max="16384" width="9.140625" style="14"/>
  </cols>
  <sheetData>
    <row r="2" spans="2:14" ht="23.25" x14ac:dyDescent="0.25">
      <c r="B2" s="78" t="s">
        <v>72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80"/>
    </row>
    <row r="3" spans="2:14" ht="15.75" thickBot="1" x14ac:dyDescent="0.3">
      <c r="B3" s="15" t="s">
        <v>73</v>
      </c>
      <c r="C3" s="16" t="s">
        <v>74</v>
      </c>
      <c r="D3" s="16" t="s">
        <v>75</v>
      </c>
      <c r="E3" s="16" t="s">
        <v>125</v>
      </c>
      <c r="F3" s="16" t="s">
        <v>76</v>
      </c>
      <c r="G3" s="16" t="s">
        <v>77</v>
      </c>
      <c r="H3" s="59"/>
      <c r="I3" s="59"/>
      <c r="J3" s="16" t="s">
        <v>78</v>
      </c>
      <c r="K3" s="17"/>
      <c r="L3" s="17" t="s">
        <v>79</v>
      </c>
      <c r="M3" s="83" t="s">
        <v>125</v>
      </c>
      <c r="N3" s="82"/>
    </row>
    <row r="4" spans="2:14" ht="15.75" thickBot="1" x14ac:dyDescent="0.3">
      <c r="B4" s="18"/>
      <c r="C4" s="19"/>
      <c r="D4" s="19" t="s">
        <v>124</v>
      </c>
      <c r="E4" s="19"/>
      <c r="F4" s="19"/>
      <c r="G4" s="19"/>
      <c r="H4" s="20" t="s">
        <v>79</v>
      </c>
      <c r="I4" s="20" t="s">
        <v>80</v>
      </c>
      <c r="J4" s="21" t="s">
        <v>81</v>
      </c>
      <c r="K4" s="22"/>
      <c r="L4" s="70"/>
      <c r="M4" s="81"/>
      <c r="N4" s="82"/>
    </row>
    <row r="5" spans="2:14" ht="15" customHeight="1" x14ac:dyDescent="0.25">
      <c r="B5" s="23">
        <v>1</v>
      </c>
      <c r="C5" s="24" t="s">
        <v>82</v>
      </c>
      <c r="D5" s="65" t="s">
        <v>126</v>
      </c>
      <c r="E5" s="90">
        <v>702533.5</v>
      </c>
      <c r="F5" s="25" t="s">
        <v>83</v>
      </c>
      <c r="G5" s="60" t="s">
        <v>84</v>
      </c>
      <c r="H5" s="61">
        <v>856343</v>
      </c>
      <c r="I5" s="62">
        <v>590</v>
      </c>
      <c r="J5" s="57">
        <f>H5/I5</f>
        <v>1451.428813559322</v>
      </c>
      <c r="K5" s="63" t="s">
        <v>85</v>
      </c>
      <c r="L5" s="71">
        <f>SUM(H5:H22)</f>
        <v>3011761</v>
      </c>
      <c r="M5" s="84">
        <v>702533.5</v>
      </c>
      <c r="N5" s="85"/>
    </row>
    <row r="6" spans="2:14" ht="15" customHeight="1" x14ac:dyDescent="0.25">
      <c r="B6" s="26">
        <f>B5+1</f>
        <v>2</v>
      </c>
      <c r="C6" s="27" t="s">
        <v>86</v>
      </c>
      <c r="D6" s="66"/>
      <c r="E6" s="91"/>
      <c r="F6" s="28" t="s">
        <v>87</v>
      </c>
      <c r="G6" s="50"/>
      <c r="H6" s="52"/>
      <c r="I6" s="55"/>
      <c r="J6" s="58"/>
      <c r="K6" s="64"/>
      <c r="L6" s="72"/>
      <c r="M6" s="86"/>
      <c r="N6" s="87"/>
    </row>
    <row r="7" spans="2:14" ht="15" customHeight="1" x14ac:dyDescent="0.25">
      <c r="B7" s="26">
        <f t="shared" ref="B7:B25" si="0">B6+1</f>
        <v>3</v>
      </c>
      <c r="C7" s="27" t="s">
        <v>88</v>
      </c>
      <c r="D7" s="66"/>
      <c r="E7" s="91"/>
      <c r="F7" s="28" t="s">
        <v>89</v>
      </c>
      <c r="G7" s="50"/>
      <c r="H7" s="52"/>
      <c r="I7" s="55"/>
      <c r="J7" s="58"/>
      <c r="K7" s="64"/>
      <c r="L7" s="72"/>
      <c r="M7" s="86"/>
      <c r="N7" s="87"/>
    </row>
    <row r="8" spans="2:14" ht="15" customHeight="1" x14ac:dyDescent="0.25">
      <c r="B8" s="26">
        <f t="shared" si="0"/>
        <v>4</v>
      </c>
      <c r="C8" s="30" t="s">
        <v>90</v>
      </c>
      <c r="D8" s="66"/>
      <c r="E8" s="91"/>
      <c r="F8" s="28" t="s">
        <v>91</v>
      </c>
      <c r="G8" s="29" t="s">
        <v>92</v>
      </c>
      <c r="H8" s="52"/>
      <c r="I8" s="55"/>
      <c r="J8" s="58"/>
      <c r="K8" s="64"/>
      <c r="L8" s="72"/>
      <c r="M8" s="86"/>
      <c r="N8" s="87"/>
    </row>
    <row r="9" spans="2:14" ht="15.75" customHeight="1" thickBot="1" x14ac:dyDescent="0.3">
      <c r="B9" s="26">
        <f t="shared" si="0"/>
        <v>5</v>
      </c>
      <c r="C9" s="30" t="s">
        <v>93</v>
      </c>
      <c r="D9" s="66"/>
      <c r="E9" s="91"/>
      <c r="F9" s="28" t="s">
        <v>94</v>
      </c>
      <c r="G9" s="29" t="s">
        <v>92</v>
      </c>
      <c r="H9" s="53"/>
      <c r="I9" s="56"/>
      <c r="J9" s="47"/>
      <c r="K9" s="64"/>
      <c r="L9" s="72"/>
      <c r="M9" s="86"/>
      <c r="N9" s="87"/>
    </row>
    <row r="10" spans="2:14" ht="15" customHeight="1" x14ac:dyDescent="0.25">
      <c r="B10" s="26">
        <f t="shared" si="0"/>
        <v>6</v>
      </c>
      <c r="C10" s="27" t="s">
        <v>59</v>
      </c>
      <c r="D10" s="66" t="s">
        <v>130</v>
      </c>
      <c r="E10" s="91"/>
      <c r="F10" s="28" t="s">
        <v>95</v>
      </c>
      <c r="G10" s="50" t="s">
        <v>84</v>
      </c>
      <c r="H10" s="51">
        <v>233720</v>
      </c>
      <c r="I10" s="54">
        <v>164</v>
      </c>
      <c r="J10" s="57">
        <f>H10/I10</f>
        <v>1425.1219512195121</v>
      </c>
      <c r="K10" s="64"/>
      <c r="L10" s="72"/>
      <c r="M10" s="86"/>
      <c r="N10" s="87"/>
    </row>
    <row r="11" spans="2:14" ht="15" customHeight="1" x14ac:dyDescent="0.25">
      <c r="B11" s="26">
        <f t="shared" si="0"/>
        <v>7</v>
      </c>
      <c r="C11" s="27" t="s">
        <v>96</v>
      </c>
      <c r="D11" s="66"/>
      <c r="E11" s="91"/>
      <c r="F11" s="28" t="s">
        <v>97</v>
      </c>
      <c r="G11" s="50"/>
      <c r="H11" s="52"/>
      <c r="I11" s="55"/>
      <c r="J11" s="58"/>
      <c r="K11" s="64"/>
      <c r="L11" s="72"/>
      <c r="M11" s="86"/>
      <c r="N11" s="87"/>
    </row>
    <row r="12" spans="2:14" ht="15" customHeight="1" x14ac:dyDescent="0.25">
      <c r="B12" s="26">
        <f t="shared" si="0"/>
        <v>8</v>
      </c>
      <c r="C12" s="27" t="s">
        <v>98</v>
      </c>
      <c r="D12" s="66"/>
      <c r="E12" s="91"/>
      <c r="F12" s="28" t="s">
        <v>99</v>
      </c>
      <c r="G12" s="50"/>
      <c r="H12" s="52"/>
      <c r="I12" s="55"/>
      <c r="J12" s="58"/>
      <c r="K12" s="64"/>
      <c r="L12" s="72"/>
      <c r="M12" s="86"/>
      <c r="N12" s="87"/>
    </row>
    <row r="13" spans="2:14" ht="15" customHeight="1" x14ac:dyDescent="0.25">
      <c r="B13" s="26">
        <f t="shared" si="0"/>
        <v>9</v>
      </c>
      <c r="C13" s="27" t="s">
        <v>100</v>
      </c>
      <c r="D13" s="66"/>
      <c r="E13" s="91"/>
      <c r="F13" s="28" t="s">
        <v>101</v>
      </c>
      <c r="G13" s="50"/>
      <c r="H13" s="52"/>
      <c r="I13" s="55"/>
      <c r="J13" s="58"/>
      <c r="K13" s="64"/>
      <c r="L13" s="72"/>
      <c r="M13" s="86"/>
      <c r="N13" s="87"/>
    </row>
    <row r="14" spans="2:14" ht="15" customHeight="1" x14ac:dyDescent="0.25">
      <c r="B14" s="26">
        <f t="shared" si="0"/>
        <v>10</v>
      </c>
      <c r="C14" s="27" t="s">
        <v>102</v>
      </c>
      <c r="D14" s="66"/>
      <c r="E14" s="91"/>
      <c r="F14" s="28" t="s">
        <v>101</v>
      </c>
      <c r="G14" s="50"/>
      <c r="H14" s="53"/>
      <c r="I14" s="56"/>
      <c r="J14" s="47"/>
      <c r="K14" s="64"/>
      <c r="L14" s="72"/>
      <c r="M14" s="86"/>
      <c r="N14" s="87"/>
    </row>
    <row r="15" spans="2:14" ht="15" customHeight="1" x14ac:dyDescent="0.25">
      <c r="B15" s="26">
        <f t="shared" si="0"/>
        <v>11</v>
      </c>
      <c r="C15" s="27" t="s">
        <v>103</v>
      </c>
      <c r="D15" s="66" t="s">
        <v>131</v>
      </c>
      <c r="E15" s="91"/>
      <c r="F15" s="28" t="s">
        <v>104</v>
      </c>
      <c r="G15" s="50" t="s">
        <v>84</v>
      </c>
      <c r="H15" s="54">
        <v>1473888</v>
      </c>
      <c r="I15" s="51">
        <v>791</v>
      </c>
      <c r="J15" s="46">
        <f>H15/I15</f>
        <v>1863.322376738306</v>
      </c>
      <c r="K15" s="64"/>
      <c r="L15" s="72"/>
      <c r="M15" s="86"/>
      <c r="N15" s="87"/>
    </row>
    <row r="16" spans="2:14" ht="15" customHeight="1" x14ac:dyDescent="0.25">
      <c r="B16" s="26">
        <f t="shared" si="0"/>
        <v>12</v>
      </c>
      <c r="C16" s="27" t="s">
        <v>105</v>
      </c>
      <c r="D16" s="66"/>
      <c r="E16" s="91"/>
      <c r="F16" s="28" t="s">
        <v>95</v>
      </c>
      <c r="G16" s="50"/>
      <c r="H16" s="55"/>
      <c r="I16" s="52"/>
      <c r="J16" s="58"/>
      <c r="K16" s="64"/>
      <c r="L16" s="72"/>
      <c r="M16" s="86"/>
      <c r="N16" s="87"/>
    </row>
    <row r="17" spans="2:14" ht="15" customHeight="1" x14ac:dyDescent="0.25">
      <c r="B17" s="26">
        <f t="shared" si="0"/>
        <v>13</v>
      </c>
      <c r="C17" s="27" t="s">
        <v>106</v>
      </c>
      <c r="D17" s="66"/>
      <c r="E17" s="91"/>
      <c r="F17" s="28" t="s">
        <v>89</v>
      </c>
      <c r="G17" s="50"/>
      <c r="H17" s="55"/>
      <c r="I17" s="52"/>
      <c r="J17" s="58"/>
      <c r="K17" s="64"/>
      <c r="L17" s="72"/>
      <c r="M17" s="86"/>
      <c r="N17" s="87"/>
    </row>
    <row r="18" spans="2:14" ht="15" customHeight="1" x14ac:dyDescent="0.25">
      <c r="B18" s="26">
        <f t="shared" si="0"/>
        <v>14</v>
      </c>
      <c r="C18" s="27" t="s">
        <v>107</v>
      </c>
      <c r="D18" s="66"/>
      <c r="E18" s="91"/>
      <c r="F18" s="28" t="s">
        <v>108</v>
      </c>
      <c r="G18" s="50"/>
      <c r="H18" s="55"/>
      <c r="I18" s="52"/>
      <c r="J18" s="58"/>
      <c r="K18" s="64"/>
      <c r="L18" s="72"/>
      <c r="M18" s="86"/>
      <c r="N18" s="87"/>
    </row>
    <row r="19" spans="2:14" ht="25.5" x14ac:dyDescent="0.25">
      <c r="B19" s="26">
        <f t="shared" si="0"/>
        <v>15</v>
      </c>
      <c r="C19" s="27" t="s">
        <v>109</v>
      </c>
      <c r="D19" s="66"/>
      <c r="E19" s="91"/>
      <c r="F19" s="28" t="s">
        <v>110</v>
      </c>
      <c r="G19" s="29" t="s">
        <v>111</v>
      </c>
      <c r="H19" s="55"/>
      <c r="I19" s="52"/>
      <c r="J19" s="58"/>
      <c r="K19" s="64"/>
      <c r="L19" s="72"/>
      <c r="M19" s="86"/>
      <c r="N19" s="87"/>
    </row>
    <row r="20" spans="2:14" ht="15" customHeight="1" x14ac:dyDescent="0.25">
      <c r="B20" s="26">
        <f t="shared" si="0"/>
        <v>16</v>
      </c>
      <c r="C20" s="27" t="s">
        <v>112</v>
      </c>
      <c r="D20" s="66"/>
      <c r="E20" s="91"/>
      <c r="F20" s="28" t="s">
        <v>113</v>
      </c>
      <c r="G20" s="29" t="s">
        <v>114</v>
      </c>
      <c r="H20" s="55"/>
      <c r="I20" s="52"/>
      <c r="J20" s="58"/>
      <c r="K20" s="64"/>
      <c r="L20" s="72"/>
      <c r="M20" s="86"/>
      <c r="N20" s="87"/>
    </row>
    <row r="21" spans="2:14" ht="15" customHeight="1" x14ac:dyDescent="0.25">
      <c r="B21" s="26">
        <f t="shared" si="0"/>
        <v>17</v>
      </c>
      <c r="C21" s="30" t="s">
        <v>115</v>
      </c>
      <c r="D21" s="66"/>
      <c r="E21" s="91"/>
      <c r="F21" s="28" t="s">
        <v>91</v>
      </c>
      <c r="G21" s="29" t="s">
        <v>92</v>
      </c>
      <c r="H21" s="56"/>
      <c r="I21" s="53"/>
      <c r="J21" s="47"/>
      <c r="K21" s="64"/>
      <c r="L21" s="72"/>
      <c r="M21" s="86"/>
      <c r="N21" s="87"/>
    </row>
    <row r="22" spans="2:14" ht="15.75" thickBot="1" x14ac:dyDescent="0.3">
      <c r="B22" s="26">
        <f t="shared" si="0"/>
        <v>18</v>
      </c>
      <c r="C22" s="27" t="s">
        <v>69</v>
      </c>
      <c r="D22" s="67" t="s">
        <v>127</v>
      </c>
      <c r="E22" s="92"/>
      <c r="F22" s="31" t="s">
        <v>91</v>
      </c>
      <c r="G22" s="31"/>
      <c r="H22" s="32">
        <v>447810</v>
      </c>
      <c r="I22" s="32">
        <v>299</v>
      </c>
      <c r="J22" s="31">
        <f>H22/I22</f>
        <v>1497.6923076923076</v>
      </c>
      <c r="K22" s="49"/>
      <c r="L22" s="73"/>
      <c r="M22" s="88"/>
      <c r="N22" s="89"/>
    </row>
    <row r="23" spans="2:14" ht="18.75" customHeight="1" x14ac:dyDescent="0.25">
      <c r="B23" s="26">
        <f t="shared" si="0"/>
        <v>19</v>
      </c>
      <c r="C23" s="27" t="s">
        <v>70</v>
      </c>
      <c r="D23" s="67" t="s">
        <v>128</v>
      </c>
      <c r="E23" s="93">
        <v>216593.5</v>
      </c>
      <c r="F23" s="46" t="s">
        <v>116</v>
      </c>
      <c r="G23" s="31"/>
      <c r="H23" s="32">
        <v>37030</v>
      </c>
      <c r="I23" s="32">
        <v>25</v>
      </c>
      <c r="J23" s="31">
        <f>H23/I23</f>
        <v>1481.2</v>
      </c>
      <c r="K23" s="48" t="s">
        <v>117</v>
      </c>
      <c r="L23" s="74">
        <f>SUM(H23:H24)</f>
        <v>904100</v>
      </c>
      <c r="M23" s="84">
        <v>216593.5</v>
      </c>
      <c r="N23" s="85"/>
    </row>
    <row r="24" spans="2:14" ht="19.5" customHeight="1" thickBot="1" x14ac:dyDescent="0.3">
      <c r="B24" s="26">
        <f t="shared" si="0"/>
        <v>20</v>
      </c>
      <c r="C24" s="27" t="s">
        <v>37</v>
      </c>
      <c r="D24" s="67" t="s">
        <v>129</v>
      </c>
      <c r="E24" s="92"/>
      <c r="F24" s="47"/>
      <c r="G24" s="31"/>
      <c r="H24" s="32">
        <v>867070</v>
      </c>
      <c r="I24" s="32">
        <v>627</v>
      </c>
      <c r="J24" s="31">
        <f>H24/I24</f>
        <v>1382.8867623604465</v>
      </c>
      <c r="K24" s="49"/>
      <c r="L24" s="75"/>
      <c r="M24" s="88"/>
      <c r="N24" s="89"/>
    </row>
    <row r="25" spans="2:14" ht="15.75" x14ac:dyDescent="0.25">
      <c r="B25" s="26">
        <f t="shared" si="0"/>
        <v>21</v>
      </c>
      <c r="C25" s="27" t="s">
        <v>118</v>
      </c>
      <c r="D25" s="68" t="s">
        <v>132</v>
      </c>
      <c r="E25" s="68"/>
      <c r="F25" s="28" t="s">
        <v>108</v>
      </c>
      <c r="G25" s="29" t="s">
        <v>84</v>
      </c>
      <c r="H25" s="33">
        <v>799651</v>
      </c>
      <c r="I25" s="34">
        <v>551</v>
      </c>
      <c r="J25" s="31">
        <f>H25/I25</f>
        <v>1451.2722323049002</v>
      </c>
      <c r="K25" s="31" t="s">
        <v>119</v>
      </c>
      <c r="L25" s="76">
        <v>799651</v>
      </c>
      <c r="M25" s="31"/>
      <c r="N25" s="31"/>
    </row>
    <row r="26" spans="2:14" ht="18.75" x14ac:dyDescent="0.25">
      <c r="B26" s="26"/>
      <c r="C26" s="35" t="s">
        <v>120</v>
      </c>
      <c r="D26" s="69"/>
      <c r="E26" s="94">
        <f>SUM(E5:E24)</f>
        <v>919127</v>
      </c>
      <c r="F26" s="36"/>
      <c r="G26" s="36"/>
      <c r="H26" s="37">
        <f>SUM(H5:H25)</f>
        <v>4715512</v>
      </c>
      <c r="I26" s="38">
        <f>SUM(I5:I25)</f>
        <v>3047</v>
      </c>
      <c r="J26" s="36"/>
      <c r="K26" s="36"/>
      <c r="L26" s="77">
        <f>SUM(L5:L25)</f>
        <v>4715512</v>
      </c>
      <c r="M26" s="31"/>
      <c r="N26" s="31"/>
    </row>
    <row r="29" spans="2:14" x14ac:dyDescent="0.25">
      <c r="L29" s="95"/>
    </row>
  </sheetData>
  <mergeCells count="28">
    <mergeCell ref="M5:N22"/>
    <mergeCell ref="M3:N3"/>
    <mergeCell ref="M4:N4"/>
    <mergeCell ref="M23:N24"/>
    <mergeCell ref="E5:E22"/>
    <mergeCell ref="E23:E24"/>
    <mergeCell ref="H3:I3"/>
    <mergeCell ref="D5:D9"/>
    <mergeCell ref="G5:G7"/>
    <mergeCell ref="H5:H9"/>
    <mergeCell ref="I5:I9"/>
    <mergeCell ref="J5:J9"/>
    <mergeCell ref="K5:K22"/>
    <mergeCell ref="L5:L22"/>
    <mergeCell ref="D10:D14"/>
    <mergeCell ref="D15:D21"/>
    <mergeCell ref="G15:G18"/>
    <mergeCell ref="H15:H21"/>
    <mergeCell ref="I15:I21"/>
    <mergeCell ref="J15:J21"/>
    <mergeCell ref="B2:N2"/>
    <mergeCell ref="F23:F24"/>
    <mergeCell ref="K23:K24"/>
    <mergeCell ref="L23:L24"/>
    <mergeCell ref="G10:G14"/>
    <mergeCell ref="H10:H14"/>
    <mergeCell ref="I10:I14"/>
    <mergeCell ref="J10:J14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tabSelected="1" zoomScaleNormal="100" workbookViewId="0">
      <pane ySplit="1" topLeftCell="A26" activePane="bottomLeft" state="frozen"/>
      <selection pane="bottomLeft" activeCell="F39" sqref="F39:F41"/>
    </sheetView>
  </sheetViews>
  <sheetFormatPr defaultRowHeight="15" x14ac:dyDescent="0.25"/>
  <cols>
    <col min="1" max="1" width="25" customWidth="1"/>
    <col min="2" max="2" width="28" customWidth="1"/>
    <col min="3" max="3" width="16" customWidth="1"/>
    <col min="4" max="4" width="22" customWidth="1"/>
    <col min="5" max="5" width="18" customWidth="1"/>
    <col min="6" max="6" width="28" customWidth="1"/>
    <col min="7" max="7" width="30" customWidth="1"/>
    <col min="8" max="8" width="12.28515625" customWidth="1"/>
  </cols>
  <sheetData>
    <row r="1" spans="1:8" ht="30" x14ac:dyDescent="0.25">
      <c r="A1" s="1" t="s">
        <v>0</v>
      </c>
      <c r="B1" s="1" t="s">
        <v>10</v>
      </c>
      <c r="C1" s="1" t="s">
        <v>1</v>
      </c>
      <c r="D1" s="12" t="s">
        <v>71</v>
      </c>
      <c r="E1" s="1" t="s">
        <v>11</v>
      </c>
      <c r="F1" s="1" t="s">
        <v>2</v>
      </c>
      <c r="G1" s="1" t="s">
        <v>3</v>
      </c>
      <c r="H1" s="1" t="s">
        <v>123</v>
      </c>
    </row>
    <row r="2" spans="1:8" x14ac:dyDescent="0.25">
      <c r="A2" s="2" t="s">
        <v>4</v>
      </c>
      <c r="B2" s="2" t="s">
        <v>12</v>
      </c>
      <c r="C2" s="2">
        <v>25</v>
      </c>
      <c r="D2" s="11">
        <v>26984.74576271186</v>
      </c>
      <c r="E2" s="2">
        <v>4857.2542372881353</v>
      </c>
      <c r="F2" s="9">
        <v>31842</v>
      </c>
      <c r="G2" s="2">
        <v>24518.34</v>
      </c>
      <c r="H2">
        <f>F2-G2</f>
        <v>7323.66</v>
      </c>
    </row>
    <row r="3" spans="1:8" x14ac:dyDescent="0.25">
      <c r="A3" s="2" t="s">
        <v>4</v>
      </c>
      <c r="B3" s="2" t="s">
        <v>13</v>
      </c>
      <c r="C3" s="2">
        <v>28</v>
      </c>
      <c r="D3" s="11">
        <v>36671.186440677957</v>
      </c>
      <c r="E3" s="2">
        <v>6600.8135593220331</v>
      </c>
      <c r="F3" s="9">
        <v>43272</v>
      </c>
      <c r="G3" s="2">
        <v>33319.440000000002</v>
      </c>
      <c r="H3">
        <f t="shared" ref="H3:H42" si="0">F3-G3</f>
        <v>9952.5599999999977</v>
      </c>
    </row>
    <row r="4" spans="1:8" x14ac:dyDescent="0.25">
      <c r="A4" s="2" t="s">
        <v>4</v>
      </c>
      <c r="B4" s="2" t="s">
        <v>14</v>
      </c>
      <c r="C4" s="2">
        <v>10</v>
      </c>
      <c r="D4" s="11">
        <v>9822.0338983050842</v>
      </c>
      <c r="E4" s="2">
        <v>1767.9661016949151</v>
      </c>
      <c r="F4" s="9">
        <v>11590</v>
      </c>
      <c r="G4" s="2">
        <v>8924.2999999999993</v>
      </c>
      <c r="H4">
        <f t="shared" si="0"/>
        <v>2665.7000000000007</v>
      </c>
    </row>
    <row r="5" spans="1:8" x14ac:dyDescent="0.25">
      <c r="A5" s="2" t="s">
        <v>4</v>
      </c>
      <c r="B5" s="2" t="s">
        <v>15</v>
      </c>
      <c r="C5" s="2">
        <v>18</v>
      </c>
      <c r="D5" s="11">
        <v>20928.81355932204</v>
      </c>
      <c r="E5" s="2">
        <v>3767.1864406779659</v>
      </c>
      <c r="F5" s="9">
        <v>24696</v>
      </c>
      <c r="G5" s="2">
        <v>19015.919999999998</v>
      </c>
      <c r="H5">
        <f t="shared" si="0"/>
        <v>5680.0800000000017</v>
      </c>
    </row>
    <row r="6" spans="1:8" x14ac:dyDescent="0.25">
      <c r="A6" s="2" t="s">
        <v>4</v>
      </c>
      <c r="B6" s="2" t="s">
        <v>16</v>
      </c>
      <c r="C6" s="2">
        <v>16</v>
      </c>
      <c r="D6" s="11">
        <v>17324.576271186441</v>
      </c>
      <c r="E6" s="2">
        <v>3118.4237288135591</v>
      </c>
      <c r="F6" s="9">
        <v>20443</v>
      </c>
      <c r="G6" s="2">
        <v>15741.11</v>
      </c>
      <c r="H6">
        <f t="shared" si="0"/>
        <v>4701.8899999999994</v>
      </c>
    </row>
    <row r="7" spans="1:8" x14ac:dyDescent="0.25">
      <c r="A7" s="2" t="s">
        <v>4</v>
      </c>
      <c r="B7" s="2" t="s">
        <v>17</v>
      </c>
      <c r="C7" s="2">
        <v>22</v>
      </c>
      <c r="D7" s="11">
        <v>22962.7118644068</v>
      </c>
      <c r="E7" s="2">
        <v>4133.2881355932213</v>
      </c>
      <c r="F7" s="9">
        <v>27096</v>
      </c>
      <c r="G7" s="2">
        <v>20863.920000000009</v>
      </c>
      <c r="H7">
        <f t="shared" si="0"/>
        <v>6232.0799999999908</v>
      </c>
    </row>
    <row r="8" spans="1:8" x14ac:dyDescent="0.25">
      <c r="A8" s="2" t="s">
        <v>4</v>
      </c>
      <c r="B8" s="2" t="s">
        <v>18</v>
      </c>
      <c r="C8" s="2">
        <v>15</v>
      </c>
      <c r="D8" s="11">
        <v>15250</v>
      </c>
      <c r="E8" s="2">
        <v>2745</v>
      </c>
      <c r="F8" s="9">
        <v>17995</v>
      </c>
      <c r="G8" s="2">
        <v>13856.15</v>
      </c>
      <c r="H8">
        <f t="shared" si="0"/>
        <v>4138.8500000000004</v>
      </c>
    </row>
    <row r="9" spans="1:8" x14ac:dyDescent="0.25">
      <c r="A9" s="2" t="s">
        <v>4</v>
      </c>
      <c r="B9" s="2" t="s">
        <v>19</v>
      </c>
      <c r="C9" s="2">
        <v>30</v>
      </c>
      <c r="D9" s="11">
        <v>48123.728813559319</v>
      </c>
      <c r="E9" s="2">
        <v>8662.2711864406774</v>
      </c>
      <c r="F9" s="9">
        <v>56786</v>
      </c>
      <c r="G9" s="2">
        <v>43725.22</v>
      </c>
      <c r="H9">
        <f t="shared" si="0"/>
        <v>13060.779999999999</v>
      </c>
    </row>
    <row r="10" spans="1:8" x14ac:dyDescent="0.25">
      <c r="A10" s="2" t="s">
        <v>5</v>
      </c>
      <c r="B10" t="s">
        <v>20</v>
      </c>
      <c r="C10" s="2">
        <v>52</v>
      </c>
      <c r="D10" s="2">
        <v>73142.372881355943</v>
      </c>
      <c r="E10" s="2">
        <v>13165.62711864407</v>
      </c>
      <c r="F10" s="9">
        <v>86308.000000000015</v>
      </c>
      <c r="G10" s="2">
        <v>60415.600000000013</v>
      </c>
      <c r="H10">
        <f t="shared" si="0"/>
        <v>25892.400000000001</v>
      </c>
    </row>
    <row r="11" spans="1:8" x14ac:dyDescent="0.25">
      <c r="A11" s="2" t="s">
        <v>5</v>
      </c>
      <c r="B11" t="s">
        <v>21</v>
      </c>
      <c r="C11" s="2">
        <v>83</v>
      </c>
      <c r="D11" s="2">
        <v>178000</v>
      </c>
      <c r="E11" s="2">
        <v>32039.999999999989</v>
      </c>
      <c r="F11" s="9">
        <v>210040</v>
      </c>
      <c r="G11" s="2">
        <v>147028</v>
      </c>
      <c r="H11">
        <f t="shared" si="0"/>
        <v>63012</v>
      </c>
    </row>
    <row r="12" spans="1:8" x14ac:dyDescent="0.25">
      <c r="A12" s="2" t="s">
        <v>5</v>
      </c>
      <c r="B12" t="s">
        <v>22</v>
      </c>
      <c r="C12" s="2">
        <v>39</v>
      </c>
      <c r="D12" s="2">
        <v>107000</v>
      </c>
      <c r="E12" s="2">
        <v>19260</v>
      </c>
      <c r="F12" s="9">
        <v>126260</v>
      </c>
      <c r="G12" s="2">
        <v>88382</v>
      </c>
      <c r="H12">
        <f t="shared" si="0"/>
        <v>37878</v>
      </c>
    </row>
    <row r="13" spans="1:8" x14ac:dyDescent="0.25">
      <c r="A13" s="2" t="s">
        <v>5</v>
      </c>
      <c r="B13" t="s">
        <v>67</v>
      </c>
      <c r="C13" s="2">
        <v>93</v>
      </c>
      <c r="D13" s="2">
        <v>88655.932203389806</v>
      </c>
      <c r="E13" s="2">
        <v>15958.06779661017</v>
      </c>
      <c r="F13" s="9">
        <v>104614</v>
      </c>
      <c r="G13" s="2">
        <v>73229.8</v>
      </c>
      <c r="H13">
        <f t="shared" si="0"/>
        <v>31384.199999999997</v>
      </c>
    </row>
    <row r="14" spans="1:8" x14ac:dyDescent="0.25">
      <c r="A14" s="2" t="s">
        <v>5</v>
      </c>
      <c r="B14" t="s">
        <v>23</v>
      </c>
      <c r="C14" s="2">
        <v>25</v>
      </c>
      <c r="D14" s="2">
        <v>31132.203389830502</v>
      </c>
      <c r="E14" s="2">
        <v>5603.796610169491</v>
      </c>
      <c r="F14" s="9">
        <v>36736</v>
      </c>
      <c r="G14" s="2">
        <v>25715.200000000001</v>
      </c>
      <c r="H14">
        <f t="shared" si="0"/>
        <v>11020.8</v>
      </c>
    </row>
    <row r="15" spans="1:8" x14ac:dyDescent="0.25">
      <c r="A15" s="2" t="s">
        <v>5</v>
      </c>
      <c r="B15" t="s">
        <v>24</v>
      </c>
      <c r="C15" s="2">
        <v>31</v>
      </c>
      <c r="D15" s="2">
        <v>74457.627118644072</v>
      </c>
      <c r="E15" s="2">
        <v>13402.37288135593</v>
      </c>
      <c r="F15" s="9">
        <v>87860</v>
      </c>
      <c r="G15" s="2">
        <v>61502</v>
      </c>
      <c r="H15">
        <f t="shared" si="0"/>
        <v>26358</v>
      </c>
    </row>
    <row r="16" spans="1:8" x14ac:dyDescent="0.25">
      <c r="A16" s="2" t="s">
        <v>5</v>
      </c>
      <c r="B16" t="s">
        <v>25</v>
      </c>
      <c r="C16" s="2">
        <v>33</v>
      </c>
      <c r="D16" s="2">
        <v>39561.864406779663</v>
      </c>
      <c r="E16" s="2">
        <v>7121.1355932203387</v>
      </c>
      <c r="F16" s="9">
        <v>46683</v>
      </c>
      <c r="G16" s="2">
        <v>32678.1</v>
      </c>
      <c r="H16">
        <f t="shared" si="0"/>
        <v>14004.900000000001</v>
      </c>
    </row>
    <row r="17" spans="1:8" x14ac:dyDescent="0.25">
      <c r="A17" s="2" t="s">
        <v>5</v>
      </c>
      <c r="B17" t="s">
        <v>26</v>
      </c>
      <c r="C17" s="2">
        <v>83</v>
      </c>
      <c r="D17" s="2">
        <v>111736.44067796609</v>
      </c>
      <c r="E17" s="2">
        <v>20112.5593220339</v>
      </c>
      <c r="F17" s="9">
        <v>131849</v>
      </c>
      <c r="G17" s="2">
        <v>92294.3</v>
      </c>
      <c r="H17">
        <f t="shared" si="0"/>
        <v>39554.699999999997</v>
      </c>
    </row>
    <row r="18" spans="1:8" x14ac:dyDescent="0.25">
      <c r="A18" s="2" t="s">
        <v>5</v>
      </c>
      <c r="B18" t="s">
        <v>27</v>
      </c>
      <c r="C18" s="2">
        <v>39</v>
      </c>
      <c r="D18" s="2">
        <v>51544.067796610179</v>
      </c>
      <c r="E18" s="2">
        <v>9277.9322033898316</v>
      </c>
      <c r="F18" s="9">
        <v>60822.000000000007</v>
      </c>
      <c r="G18" s="2">
        <v>42575.400000000009</v>
      </c>
      <c r="H18">
        <f t="shared" si="0"/>
        <v>18246.599999999999</v>
      </c>
    </row>
    <row r="19" spans="1:8" x14ac:dyDescent="0.25">
      <c r="A19" s="2" t="s">
        <v>5</v>
      </c>
      <c r="B19" t="s">
        <v>28</v>
      </c>
      <c r="C19" s="2">
        <v>63</v>
      </c>
      <c r="D19" s="2">
        <v>76826.271186440688</v>
      </c>
      <c r="E19" s="2">
        <v>13828.728813559321</v>
      </c>
      <c r="F19" s="9">
        <v>90655.000000000015</v>
      </c>
      <c r="G19" s="2">
        <v>63458.500000000007</v>
      </c>
      <c r="H19">
        <f t="shared" si="0"/>
        <v>27196.500000000007</v>
      </c>
    </row>
    <row r="20" spans="1:8" x14ac:dyDescent="0.25">
      <c r="A20" s="2" t="s">
        <v>5</v>
      </c>
      <c r="B20" t="s">
        <v>29</v>
      </c>
      <c r="C20" s="2">
        <v>71</v>
      </c>
      <c r="D20" s="2">
        <v>160638.98305084751</v>
      </c>
      <c r="E20" s="2">
        <v>28915.016949152541</v>
      </c>
      <c r="F20" s="9">
        <v>189554</v>
      </c>
      <c r="G20" s="2">
        <v>132687.79999999999</v>
      </c>
      <c r="H20">
        <f t="shared" si="0"/>
        <v>56866.200000000012</v>
      </c>
    </row>
    <row r="21" spans="1:8" x14ac:dyDescent="0.25">
      <c r="A21" s="2" t="s">
        <v>5</v>
      </c>
      <c r="B21" t="s">
        <v>30</v>
      </c>
      <c r="C21" s="2">
        <v>43</v>
      </c>
      <c r="D21" s="2">
        <v>46009.322033898301</v>
      </c>
      <c r="E21" s="2">
        <v>8281.6779661016935</v>
      </c>
      <c r="F21" s="9">
        <v>54290.999999999993</v>
      </c>
      <c r="G21" s="2">
        <v>38003.699999999997</v>
      </c>
      <c r="H21">
        <f t="shared" si="0"/>
        <v>16287.299999999996</v>
      </c>
    </row>
    <row r="22" spans="1:8" x14ac:dyDescent="0.25">
      <c r="A22" s="2" t="s">
        <v>5</v>
      </c>
      <c r="B22" t="s">
        <v>31</v>
      </c>
      <c r="C22" s="2">
        <v>71</v>
      </c>
      <c r="D22" s="2">
        <v>85383.898305084746</v>
      </c>
      <c r="E22" s="2">
        <v>15369.101694915251</v>
      </c>
      <c r="F22" s="9">
        <v>100753</v>
      </c>
      <c r="G22" s="2">
        <v>70527.100000000006</v>
      </c>
      <c r="H22">
        <f t="shared" si="0"/>
        <v>30225.899999999994</v>
      </c>
    </row>
    <row r="23" spans="1:8" x14ac:dyDescent="0.25">
      <c r="A23" s="2" t="s">
        <v>5</v>
      </c>
      <c r="B23" t="s">
        <v>32</v>
      </c>
      <c r="C23" s="2">
        <v>44</v>
      </c>
      <c r="D23" s="2">
        <v>96254.237288135599</v>
      </c>
      <c r="E23" s="2">
        <v>17325.762711864409</v>
      </c>
      <c r="F23" s="9">
        <v>113580</v>
      </c>
      <c r="G23" s="2">
        <v>79506</v>
      </c>
      <c r="H23">
        <f t="shared" si="0"/>
        <v>34074</v>
      </c>
    </row>
    <row r="24" spans="1:8" x14ac:dyDescent="0.25">
      <c r="A24" s="2" t="s">
        <v>5</v>
      </c>
      <c r="B24" t="s">
        <v>33</v>
      </c>
      <c r="C24" s="2">
        <v>21</v>
      </c>
      <c r="D24" s="2">
        <v>28714.406779661022</v>
      </c>
      <c r="E24" s="2">
        <v>5168.593220338983</v>
      </c>
      <c r="F24" s="9">
        <v>33883</v>
      </c>
      <c r="G24" s="2">
        <v>23718.1</v>
      </c>
      <c r="H24">
        <f t="shared" si="0"/>
        <v>10164.900000000001</v>
      </c>
    </row>
    <row r="25" spans="1:8" x14ac:dyDescent="0.25">
      <c r="A25" s="2" t="s">
        <v>6</v>
      </c>
      <c r="B25" s="2" t="s">
        <v>52</v>
      </c>
      <c r="C25" s="2">
        <v>91</v>
      </c>
      <c r="D25">
        <v>129306.779661017</v>
      </c>
      <c r="E25" s="2">
        <v>23275.22033898305</v>
      </c>
      <c r="F25" s="9">
        <v>152582</v>
      </c>
      <c r="G25" s="2">
        <v>135716</v>
      </c>
      <c r="H25">
        <f t="shared" si="0"/>
        <v>16866</v>
      </c>
    </row>
    <row r="26" spans="1:8" x14ac:dyDescent="0.25">
      <c r="A26" s="2" t="s">
        <v>6</v>
      </c>
      <c r="B26" s="2" t="s">
        <v>38</v>
      </c>
      <c r="C26" s="2">
        <v>47</v>
      </c>
      <c r="D26">
        <v>71808.474576271183</v>
      </c>
      <c r="E26" s="2">
        <v>12925.52542372881</v>
      </c>
      <c r="F26" s="9">
        <v>84734</v>
      </c>
      <c r="G26" s="2">
        <v>75368</v>
      </c>
      <c r="H26">
        <f t="shared" si="0"/>
        <v>9366</v>
      </c>
    </row>
    <row r="27" spans="1:8" x14ac:dyDescent="0.25">
      <c r="A27" s="2" t="s">
        <v>6</v>
      </c>
      <c r="B27" s="2" t="s">
        <v>39</v>
      </c>
      <c r="C27" s="2">
        <v>20</v>
      </c>
      <c r="D27">
        <v>23711.864406779659</v>
      </c>
      <c r="E27" s="2">
        <v>4268.135593220336</v>
      </c>
      <c r="F27" s="9">
        <v>27980</v>
      </c>
      <c r="G27" s="2">
        <v>24887</v>
      </c>
      <c r="H27">
        <f t="shared" si="0"/>
        <v>3093</v>
      </c>
    </row>
    <row r="28" spans="1:8" x14ac:dyDescent="0.25">
      <c r="A28" s="2" t="s">
        <v>6</v>
      </c>
      <c r="B28" s="2" t="s">
        <v>40</v>
      </c>
      <c r="C28" s="2">
        <v>20</v>
      </c>
      <c r="D28">
        <v>16932.203389830509</v>
      </c>
      <c r="E28" s="2">
        <v>3047.796610169491</v>
      </c>
      <c r="F28" s="9">
        <v>19980</v>
      </c>
      <c r="G28" s="2">
        <v>17771</v>
      </c>
      <c r="H28">
        <f t="shared" si="0"/>
        <v>2209</v>
      </c>
    </row>
    <row r="29" spans="1:8" x14ac:dyDescent="0.25">
      <c r="A29" s="2" t="s">
        <v>6</v>
      </c>
      <c r="B29" s="2" t="s">
        <v>41</v>
      </c>
      <c r="C29" s="2">
        <v>43</v>
      </c>
      <c r="D29">
        <v>62220.338983050853</v>
      </c>
      <c r="E29" s="2">
        <v>11199.661016949151</v>
      </c>
      <c r="F29" s="9">
        <v>73420</v>
      </c>
      <c r="G29" s="2">
        <v>65304</v>
      </c>
      <c r="H29">
        <f t="shared" si="0"/>
        <v>8116</v>
      </c>
    </row>
    <row r="30" spans="1:8" x14ac:dyDescent="0.25">
      <c r="A30" s="2" t="s">
        <v>6</v>
      </c>
      <c r="B30" s="2" t="s">
        <v>42</v>
      </c>
      <c r="C30" s="2">
        <v>24</v>
      </c>
      <c r="D30">
        <v>24386.4406779661</v>
      </c>
      <c r="E30" s="2">
        <v>4389.559322033896</v>
      </c>
      <c r="F30" s="9">
        <v>28776</v>
      </c>
      <c r="G30" s="2">
        <v>25595</v>
      </c>
      <c r="H30">
        <f t="shared" si="0"/>
        <v>3181</v>
      </c>
    </row>
    <row r="31" spans="1:8" x14ac:dyDescent="0.25">
      <c r="A31" s="2" t="s">
        <v>6</v>
      </c>
      <c r="B31" s="2" t="s">
        <v>43</v>
      </c>
      <c r="C31" s="2">
        <v>132</v>
      </c>
      <c r="D31">
        <v>141749.15254237299</v>
      </c>
      <c r="E31" s="2">
        <v>25514.847457627111</v>
      </c>
      <c r="F31" s="9">
        <v>167264</v>
      </c>
      <c r="G31" s="2">
        <v>148775</v>
      </c>
      <c r="H31">
        <f t="shared" si="0"/>
        <v>18489</v>
      </c>
    </row>
    <row r="32" spans="1:8" x14ac:dyDescent="0.25">
      <c r="A32" s="2" t="s">
        <v>6</v>
      </c>
      <c r="B32" s="2" t="s">
        <v>53</v>
      </c>
      <c r="C32" s="2">
        <v>44</v>
      </c>
      <c r="D32">
        <v>59886.440677966108</v>
      </c>
      <c r="E32" s="2">
        <v>10779.559322033891</v>
      </c>
      <c r="F32" s="9">
        <v>70666</v>
      </c>
      <c r="G32" s="2">
        <v>62855</v>
      </c>
      <c r="H32">
        <f t="shared" si="0"/>
        <v>7811</v>
      </c>
    </row>
    <row r="33" spans="1:10" x14ac:dyDescent="0.25">
      <c r="A33" s="2" t="s">
        <v>6</v>
      </c>
      <c r="B33" s="2" t="s">
        <v>44</v>
      </c>
      <c r="C33" s="2">
        <v>82</v>
      </c>
      <c r="D33">
        <v>87186.440677966108</v>
      </c>
      <c r="E33" s="2">
        <v>15693.559322033891</v>
      </c>
      <c r="F33" s="9">
        <v>102880</v>
      </c>
      <c r="G33" s="2">
        <v>91508</v>
      </c>
      <c r="H33">
        <f t="shared" si="0"/>
        <v>11372</v>
      </c>
    </row>
    <row r="34" spans="1:10" x14ac:dyDescent="0.25">
      <c r="A34" s="2" t="s">
        <v>6</v>
      </c>
      <c r="B34" s="2" t="s">
        <v>45</v>
      </c>
      <c r="C34" s="2">
        <v>37</v>
      </c>
      <c r="D34">
        <v>37527.966101694918</v>
      </c>
      <c r="E34" s="2">
        <v>6755.0338983050842</v>
      </c>
      <c r="F34" s="9">
        <v>44283</v>
      </c>
      <c r="G34" s="2">
        <v>39388</v>
      </c>
      <c r="H34">
        <f t="shared" si="0"/>
        <v>4895</v>
      </c>
    </row>
    <row r="35" spans="1:10" x14ac:dyDescent="0.25">
      <c r="A35" s="2" t="s">
        <v>6</v>
      </c>
      <c r="B35" s="2" t="s">
        <v>46</v>
      </c>
      <c r="C35" s="2">
        <v>50</v>
      </c>
      <c r="D35">
        <v>70998.305084745778</v>
      </c>
      <c r="E35" s="2">
        <v>12779.694915254229</v>
      </c>
      <c r="F35" s="9">
        <v>83778</v>
      </c>
      <c r="G35" s="2">
        <v>74517</v>
      </c>
      <c r="H35">
        <f t="shared" si="0"/>
        <v>9261</v>
      </c>
    </row>
    <row r="36" spans="1:10" x14ac:dyDescent="0.25">
      <c r="A36" s="2" t="s">
        <v>7</v>
      </c>
      <c r="B36" s="2" t="s">
        <v>34</v>
      </c>
      <c r="C36" s="2">
        <v>160</v>
      </c>
      <c r="D36" s="2">
        <v>208528.81355932201</v>
      </c>
      <c r="E36" s="2">
        <v>37535.186440677957</v>
      </c>
      <c r="F36" s="9">
        <v>246063.99999999991</v>
      </c>
      <c r="G36" s="2">
        <v>184547.99999999991</v>
      </c>
      <c r="H36">
        <f t="shared" si="0"/>
        <v>61516</v>
      </c>
    </row>
    <row r="37" spans="1:10" x14ac:dyDescent="0.25">
      <c r="A37" s="2" t="s">
        <v>7</v>
      </c>
      <c r="B37" s="2" t="s">
        <v>35</v>
      </c>
      <c r="C37" s="2">
        <v>139</v>
      </c>
      <c r="D37" s="2">
        <v>170971.18644067791</v>
      </c>
      <c r="E37" s="2">
        <v>30774.813559322029</v>
      </c>
      <c r="F37" s="9">
        <v>201746</v>
      </c>
      <c r="G37" s="2">
        <v>151309.5</v>
      </c>
      <c r="H37">
        <f>F37-G37</f>
        <v>50436.5</v>
      </c>
      <c r="I37">
        <f>SUM(H2:H37)</f>
        <v>702533.5</v>
      </c>
      <c r="J37">
        <v>702533.5</v>
      </c>
    </row>
    <row r="38" spans="1:10" x14ac:dyDescent="0.25">
      <c r="A38" s="2" t="s">
        <v>8</v>
      </c>
      <c r="B38" s="2" t="s">
        <v>36</v>
      </c>
      <c r="C38" s="2">
        <v>25</v>
      </c>
      <c r="D38" s="2">
        <v>31381.355932203402</v>
      </c>
      <c r="E38" s="2">
        <v>5648.6440677966093</v>
      </c>
      <c r="F38" s="13">
        <v>37030</v>
      </c>
      <c r="G38" s="2">
        <v>23615.4</v>
      </c>
      <c r="H38">
        <v>86563.53</v>
      </c>
    </row>
    <row r="39" spans="1:10" x14ac:dyDescent="0.25">
      <c r="A39" t="s">
        <v>37</v>
      </c>
      <c r="B39" s="8">
        <v>1320</v>
      </c>
      <c r="C39">
        <v>168</v>
      </c>
      <c r="D39" s="10">
        <v>244970</v>
      </c>
      <c r="F39" s="10">
        <v>244970</v>
      </c>
      <c r="G39">
        <v>208255</v>
      </c>
      <c r="H39">
        <f>F39-G39</f>
        <v>36715</v>
      </c>
    </row>
    <row r="40" spans="1:10" x14ac:dyDescent="0.25">
      <c r="A40" t="s">
        <v>37</v>
      </c>
      <c r="B40" s="8">
        <v>1321</v>
      </c>
      <c r="C40">
        <v>130</v>
      </c>
      <c r="D40" s="10">
        <v>190102</v>
      </c>
      <c r="F40" s="10">
        <v>190102</v>
      </c>
      <c r="G40">
        <v>161587</v>
      </c>
      <c r="H40">
        <f>F40-G40</f>
        <v>28515</v>
      </c>
    </row>
    <row r="41" spans="1:10" x14ac:dyDescent="0.25">
      <c r="A41" t="s">
        <v>37</v>
      </c>
      <c r="B41" s="8">
        <v>1322</v>
      </c>
      <c r="C41">
        <v>329</v>
      </c>
      <c r="D41" s="10">
        <v>431998</v>
      </c>
      <c r="F41" s="10">
        <v>431998</v>
      </c>
      <c r="G41">
        <v>367198</v>
      </c>
      <c r="H41">
        <f t="shared" si="0"/>
        <v>64800</v>
      </c>
      <c r="I41">
        <f>SUM(H38:H41)</f>
        <v>216593.53</v>
      </c>
      <c r="J41">
        <v>216593.5</v>
      </c>
    </row>
    <row r="42" spans="1:10" x14ac:dyDescent="0.25">
      <c r="A42" t="s">
        <v>54</v>
      </c>
      <c r="B42" s="8"/>
      <c r="C42">
        <v>551</v>
      </c>
      <c r="D42">
        <v>799651</v>
      </c>
      <c r="F42">
        <v>799651</v>
      </c>
      <c r="G42">
        <v>747809</v>
      </c>
    </row>
    <row r="43" spans="1:10" x14ac:dyDescent="0.25">
      <c r="A43" s="3" t="s">
        <v>9</v>
      </c>
      <c r="B43" s="3"/>
      <c r="C43" s="4">
        <f>SUM(C2:C42)</f>
        <v>3047</v>
      </c>
      <c r="D43" s="5">
        <f>SUM(D2:D42)</f>
        <v>4250442.1864406783</v>
      </c>
      <c r="E43" s="6">
        <f>SUM(E2:E38)</f>
        <v>465069.81355932192</v>
      </c>
      <c r="F43" s="39">
        <f>SUM(F2:F42)</f>
        <v>4715512</v>
      </c>
      <c r="G43" s="7">
        <f>SUM(G2:G42)</f>
        <v>3817691.9</v>
      </c>
    </row>
    <row r="45" spans="1:10" ht="15.75" thickBot="1" x14ac:dyDescent="0.3"/>
    <row r="46" spans="1:10" ht="15.75" x14ac:dyDescent="0.25">
      <c r="A46" s="40" t="s">
        <v>55</v>
      </c>
      <c r="B46" s="41" t="s">
        <v>56</v>
      </c>
    </row>
    <row r="47" spans="1:10" ht="15.75" x14ac:dyDescent="0.25">
      <c r="A47" s="42" t="s">
        <v>47</v>
      </c>
      <c r="B47" s="43">
        <f>SUM(F26:F28,F34)</f>
        <v>176977</v>
      </c>
    </row>
    <row r="48" spans="1:10" ht="15.75" x14ac:dyDescent="0.25">
      <c r="A48" s="42" t="s">
        <v>48</v>
      </c>
      <c r="B48" s="43">
        <v>83778</v>
      </c>
    </row>
    <row r="49" spans="1:2" ht="15.75" x14ac:dyDescent="0.25">
      <c r="A49" s="42" t="s">
        <v>49</v>
      </c>
      <c r="B49" s="43">
        <f>SUM(F25,F31)</f>
        <v>319846</v>
      </c>
    </row>
    <row r="50" spans="1:2" ht="15.75" x14ac:dyDescent="0.25">
      <c r="A50" s="42" t="s">
        <v>50</v>
      </c>
      <c r="B50" s="43">
        <f>F32+F33</f>
        <v>173546</v>
      </c>
    </row>
    <row r="51" spans="1:2" ht="15.75" x14ac:dyDescent="0.25">
      <c r="A51" s="42" t="s">
        <v>51</v>
      </c>
      <c r="B51" s="43">
        <f>F29+F30</f>
        <v>102196</v>
      </c>
    </row>
    <row r="52" spans="1:2" ht="15.75" x14ac:dyDescent="0.25">
      <c r="A52" s="42"/>
      <c r="B52" s="43"/>
    </row>
    <row r="53" spans="1:2" ht="15.75" x14ac:dyDescent="0.25">
      <c r="A53" s="42" t="s">
        <v>57</v>
      </c>
      <c r="B53" s="43">
        <f>SUM(F2,F4,F5)</f>
        <v>68128</v>
      </c>
    </row>
    <row r="54" spans="1:2" ht="15.75" x14ac:dyDescent="0.25">
      <c r="A54" s="42" t="s">
        <v>58</v>
      </c>
      <c r="B54" s="43">
        <f>SUM(F6)</f>
        <v>20443</v>
      </c>
    </row>
    <row r="55" spans="1:2" ht="15.75" x14ac:dyDescent="0.25">
      <c r="A55" s="42" t="s">
        <v>59</v>
      </c>
      <c r="B55" s="43">
        <f>SUM(F3,F9)</f>
        <v>100058</v>
      </c>
    </row>
    <row r="56" spans="1:2" ht="15.75" x14ac:dyDescent="0.25">
      <c r="A56" s="42" t="s">
        <v>60</v>
      </c>
      <c r="B56" s="43">
        <v>27096</v>
      </c>
    </row>
    <row r="57" spans="1:2" ht="15.75" x14ac:dyDescent="0.25">
      <c r="A57" s="42" t="s">
        <v>61</v>
      </c>
      <c r="B57" s="43">
        <v>17995</v>
      </c>
    </row>
    <row r="58" spans="1:2" ht="15.75" x14ac:dyDescent="0.25">
      <c r="A58" s="42"/>
      <c r="B58" s="43"/>
    </row>
    <row r="59" spans="1:2" ht="15.75" x14ac:dyDescent="0.25">
      <c r="A59" s="42" t="s">
        <v>62</v>
      </c>
      <c r="B59" s="43">
        <f>SUM(F15,F20,F23,F11)</f>
        <v>601034</v>
      </c>
    </row>
    <row r="60" spans="1:2" ht="15.75" x14ac:dyDescent="0.25">
      <c r="A60" s="42" t="s">
        <v>63</v>
      </c>
      <c r="B60" s="43">
        <f>SUM(F16,F24)</f>
        <v>80566</v>
      </c>
    </row>
    <row r="61" spans="1:2" ht="15.75" x14ac:dyDescent="0.25">
      <c r="A61" s="42" t="s">
        <v>64</v>
      </c>
      <c r="B61" s="43">
        <f>SUM(F10,F17,F19)</f>
        <v>308812</v>
      </c>
    </row>
    <row r="62" spans="1:2" ht="15.75" x14ac:dyDescent="0.25">
      <c r="A62" s="42" t="s">
        <v>65</v>
      </c>
      <c r="B62" s="43">
        <f>SUM(F12,F18,F21)</f>
        <v>241373</v>
      </c>
    </row>
    <row r="63" spans="1:2" ht="15.75" x14ac:dyDescent="0.25">
      <c r="A63" s="42" t="s">
        <v>66</v>
      </c>
      <c r="B63" s="43">
        <f>SUM(F13,F22)</f>
        <v>205367</v>
      </c>
    </row>
    <row r="64" spans="1:2" ht="15.75" x14ac:dyDescent="0.25">
      <c r="A64" s="42" t="s">
        <v>68</v>
      </c>
      <c r="B64" s="43">
        <v>36736</v>
      </c>
    </row>
    <row r="65" spans="1:2" ht="15.75" x14ac:dyDescent="0.25">
      <c r="A65" s="42"/>
      <c r="B65" s="43"/>
    </row>
    <row r="66" spans="1:2" ht="15.75" x14ac:dyDescent="0.25">
      <c r="A66" s="42" t="s">
        <v>69</v>
      </c>
      <c r="B66" s="43">
        <f>SUM(F36:F37)</f>
        <v>447809.99999999988</v>
      </c>
    </row>
    <row r="67" spans="1:2" ht="15.75" x14ac:dyDescent="0.25">
      <c r="A67" s="42" t="s">
        <v>70</v>
      </c>
      <c r="B67" s="43">
        <v>37030</v>
      </c>
    </row>
    <row r="68" spans="1:2" ht="15.75" x14ac:dyDescent="0.25">
      <c r="A68" s="42" t="s">
        <v>37</v>
      </c>
      <c r="B68" s="43">
        <f>SUM(F39:F41)</f>
        <v>867070</v>
      </c>
    </row>
    <row r="69" spans="1:2" ht="15.75" x14ac:dyDescent="0.25">
      <c r="A69" s="42"/>
      <c r="B69" s="43"/>
    </row>
    <row r="70" spans="1:2" ht="15.75" x14ac:dyDescent="0.25">
      <c r="A70" s="42" t="s">
        <v>121</v>
      </c>
      <c r="B70" s="43">
        <v>799651</v>
      </c>
    </row>
    <row r="71" spans="1:2" ht="15.75" x14ac:dyDescent="0.25">
      <c r="A71" s="42"/>
      <c r="B71" s="43"/>
    </row>
    <row r="72" spans="1:2" ht="15.75" x14ac:dyDescent="0.25">
      <c r="A72" s="42"/>
      <c r="B72" s="43"/>
    </row>
    <row r="73" spans="1:2" ht="16.5" thickBot="1" x14ac:dyDescent="0.3">
      <c r="A73" s="44" t="s">
        <v>122</v>
      </c>
      <c r="B73" s="45">
        <f>SUM(B47:B70)</f>
        <v>4715512</v>
      </c>
    </row>
  </sheetData>
  <autoFilter ref="A1:G43" xr:uid="{00000000-0009-0000-0000-000001000000}"/>
  <pageMargins left="0.75" right="0.75" top="1" bottom="1" header="0.5" footer="0.5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5F33-C6C7-49DE-A0C6-90B99E51BD9A}">
  <dimension ref="A1:H30"/>
  <sheetViews>
    <sheetView topLeftCell="A10" workbookViewId="0">
      <selection activeCell="D35" sqref="D35"/>
    </sheetView>
  </sheetViews>
  <sheetFormatPr defaultRowHeight="15" x14ac:dyDescent="0.25"/>
  <cols>
    <col min="1" max="1" width="13" customWidth="1"/>
    <col min="2" max="2" width="18" customWidth="1"/>
    <col min="3" max="3" width="9" customWidth="1"/>
    <col min="4" max="4" width="32" customWidth="1"/>
    <col min="5" max="5" width="10" customWidth="1"/>
    <col min="6" max="6" width="8" customWidth="1"/>
  </cols>
  <sheetData>
    <row r="1" spans="1:8" ht="21.95" customHeight="1" x14ac:dyDescent="0.25">
      <c r="A1" s="96" t="s">
        <v>133</v>
      </c>
      <c r="B1" s="96" t="s">
        <v>134</v>
      </c>
      <c r="C1" s="96" t="s">
        <v>135</v>
      </c>
      <c r="D1" s="96" t="s">
        <v>136</v>
      </c>
      <c r="E1" s="96" t="s">
        <v>137</v>
      </c>
      <c r="F1" s="96" t="s">
        <v>138</v>
      </c>
      <c r="G1" s="97" t="s">
        <v>139</v>
      </c>
      <c r="H1" s="97" t="s">
        <v>122</v>
      </c>
    </row>
    <row r="2" spans="1:8" x14ac:dyDescent="0.25">
      <c r="A2" s="98" t="s">
        <v>140</v>
      </c>
      <c r="B2" s="98" t="s">
        <v>141</v>
      </c>
      <c r="C2" s="98"/>
      <c r="D2" s="98" t="s">
        <v>142</v>
      </c>
      <c r="E2" s="99">
        <v>12</v>
      </c>
      <c r="F2" s="98" t="s">
        <v>143</v>
      </c>
      <c r="G2">
        <v>1199</v>
      </c>
      <c r="H2">
        <f>E2*G2</f>
        <v>14388</v>
      </c>
    </row>
    <row r="3" spans="1:8" x14ac:dyDescent="0.25">
      <c r="A3" s="98" t="s">
        <v>140</v>
      </c>
      <c r="B3" s="98" t="s">
        <v>141</v>
      </c>
      <c r="C3" s="98"/>
      <c r="D3" s="98" t="s">
        <v>144</v>
      </c>
      <c r="E3" s="99">
        <v>12</v>
      </c>
      <c r="F3" s="98" t="s">
        <v>143</v>
      </c>
      <c r="G3">
        <v>1199</v>
      </c>
      <c r="H3">
        <f t="shared" ref="H3:H28" si="0">E3*G3</f>
        <v>14388</v>
      </c>
    </row>
    <row r="4" spans="1:8" x14ac:dyDescent="0.25">
      <c r="A4" s="98" t="s">
        <v>140</v>
      </c>
      <c r="B4" s="98" t="s">
        <v>141</v>
      </c>
      <c r="C4" s="98"/>
      <c r="D4" s="98" t="s">
        <v>145</v>
      </c>
      <c r="E4" s="99">
        <v>6</v>
      </c>
      <c r="F4" s="98" t="s">
        <v>143</v>
      </c>
      <c r="G4">
        <v>1199</v>
      </c>
      <c r="H4">
        <f t="shared" si="0"/>
        <v>7194</v>
      </c>
    </row>
    <row r="5" spans="1:8" x14ac:dyDescent="0.25">
      <c r="A5" s="98" t="s">
        <v>140</v>
      </c>
      <c r="B5" s="98" t="s">
        <v>141</v>
      </c>
      <c r="C5" s="98"/>
      <c r="D5" s="98" t="s">
        <v>146</v>
      </c>
      <c r="E5" s="99">
        <v>6</v>
      </c>
      <c r="F5" s="98" t="s">
        <v>143</v>
      </c>
      <c r="G5">
        <v>1199</v>
      </c>
      <c r="H5">
        <f t="shared" si="0"/>
        <v>7194</v>
      </c>
    </row>
    <row r="6" spans="1:8" x14ac:dyDescent="0.25">
      <c r="A6" s="98" t="s">
        <v>140</v>
      </c>
      <c r="B6" s="98" t="s">
        <v>141</v>
      </c>
      <c r="C6" s="98"/>
      <c r="D6" s="98" t="s">
        <v>147</v>
      </c>
      <c r="E6" s="99">
        <v>12</v>
      </c>
      <c r="F6" s="98" t="s">
        <v>143</v>
      </c>
      <c r="H6">
        <f t="shared" si="0"/>
        <v>0</v>
      </c>
    </row>
    <row r="7" spans="1:8" x14ac:dyDescent="0.25">
      <c r="A7" s="98" t="s">
        <v>140</v>
      </c>
      <c r="B7" s="98" t="s">
        <v>141</v>
      </c>
      <c r="C7" s="98"/>
      <c r="D7" s="98" t="s">
        <v>148</v>
      </c>
      <c r="E7" s="99">
        <v>20</v>
      </c>
      <c r="F7" s="98" t="s">
        <v>143</v>
      </c>
      <c r="G7">
        <v>1250</v>
      </c>
      <c r="H7">
        <f t="shared" si="0"/>
        <v>25000</v>
      </c>
    </row>
    <row r="8" spans="1:8" x14ac:dyDescent="0.25">
      <c r="A8" s="98" t="s">
        <v>140</v>
      </c>
      <c r="B8" s="98" t="s">
        <v>141</v>
      </c>
      <c r="C8" s="98"/>
      <c r="D8" s="98" t="s">
        <v>149</v>
      </c>
      <c r="E8" s="99">
        <v>6</v>
      </c>
      <c r="F8" s="98" t="s">
        <v>143</v>
      </c>
      <c r="G8">
        <v>1399</v>
      </c>
      <c r="H8">
        <f t="shared" si="0"/>
        <v>8394</v>
      </c>
    </row>
    <row r="9" spans="1:8" x14ac:dyDescent="0.25">
      <c r="A9" s="98" t="s">
        <v>140</v>
      </c>
      <c r="B9" s="98" t="s">
        <v>141</v>
      </c>
      <c r="C9" s="98"/>
      <c r="D9" s="98" t="s">
        <v>150</v>
      </c>
      <c r="E9" s="99">
        <v>6</v>
      </c>
      <c r="F9" s="98" t="s">
        <v>143</v>
      </c>
      <c r="G9">
        <v>1399</v>
      </c>
      <c r="H9">
        <f t="shared" si="0"/>
        <v>8394</v>
      </c>
    </row>
    <row r="10" spans="1:8" x14ac:dyDescent="0.25">
      <c r="A10" s="98" t="s">
        <v>140</v>
      </c>
      <c r="B10" s="98" t="s">
        <v>141</v>
      </c>
      <c r="C10" s="98"/>
      <c r="D10" s="98" t="s">
        <v>151</v>
      </c>
      <c r="E10" s="99">
        <v>6</v>
      </c>
      <c r="F10" s="98" t="s">
        <v>143</v>
      </c>
      <c r="G10">
        <v>1399</v>
      </c>
      <c r="H10">
        <f t="shared" si="0"/>
        <v>8394</v>
      </c>
    </row>
    <row r="11" spans="1:8" x14ac:dyDescent="0.25">
      <c r="A11" s="98" t="s">
        <v>140</v>
      </c>
      <c r="B11" s="98" t="s">
        <v>141</v>
      </c>
      <c r="C11" s="98"/>
      <c r="D11" s="98" t="s">
        <v>152</v>
      </c>
      <c r="E11" s="99">
        <v>6</v>
      </c>
      <c r="F11" s="98" t="s">
        <v>143</v>
      </c>
      <c r="G11">
        <v>1399</v>
      </c>
      <c r="H11">
        <f t="shared" si="0"/>
        <v>8394</v>
      </c>
    </row>
    <row r="12" spans="1:8" x14ac:dyDescent="0.25">
      <c r="A12" s="98" t="s">
        <v>153</v>
      </c>
      <c r="B12" s="98" t="s">
        <v>141</v>
      </c>
      <c r="C12" s="98"/>
      <c r="D12" s="98" t="s">
        <v>142</v>
      </c>
      <c r="E12" s="99">
        <v>1</v>
      </c>
      <c r="F12" s="98" t="s">
        <v>154</v>
      </c>
      <c r="G12">
        <v>1199</v>
      </c>
      <c r="H12">
        <f t="shared" si="0"/>
        <v>1199</v>
      </c>
    </row>
    <row r="13" spans="1:8" x14ac:dyDescent="0.25">
      <c r="A13" s="98" t="s">
        <v>153</v>
      </c>
      <c r="B13" s="98" t="s">
        <v>141</v>
      </c>
      <c r="C13" s="98"/>
      <c r="D13" s="98" t="s">
        <v>144</v>
      </c>
      <c r="E13" s="99">
        <v>1</v>
      </c>
      <c r="F13" s="98" t="s">
        <v>154</v>
      </c>
      <c r="G13">
        <v>1199</v>
      </c>
      <c r="H13">
        <f t="shared" si="0"/>
        <v>1199</v>
      </c>
    </row>
    <row r="14" spans="1:8" x14ac:dyDescent="0.25">
      <c r="A14" s="98" t="s">
        <v>153</v>
      </c>
      <c r="B14" s="98" t="s">
        <v>141</v>
      </c>
      <c r="C14" s="98"/>
      <c r="D14" s="98" t="s">
        <v>155</v>
      </c>
      <c r="E14" s="99">
        <v>1</v>
      </c>
      <c r="F14" s="98" t="s">
        <v>154</v>
      </c>
      <c r="G14">
        <v>1650</v>
      </c>
      <c r="H14">
        <f t="shared" si="0"/>
        <v>1650</v>
      </c>
    </row>
    <row r="15" spans="1:8" x14ac:dyDescent="0.25">
      <c r="A15" s="98" t="s">
        <v>153</v>
      </c>
      <c r="B15" s="98" t="s">
        <v>141</v>
      </c>
      <c r="C15" s="98"/>
      <c r="D15" s="98" t="s">
        <v>156</v>
      </c>
      <c r="E15" s="99">
        <v>1</v>
      </c>
      <c r="F15" s="98" t="s">
        <v>154</v>
      </c>
      <c r="G15">
        <v>1399</v>
      </c>
      <c r="H15">
        <f t="shared" si="0"/>
        <v>1399</v>
      </c>
    </row>
    <row r="16" spans="1:8" x14ac:dyDescent="0.25">
      <c r="A16" s="98" t="s">
        <v>153</v>
      </c>
      <c r="B16" s="98" t="s">
        <v>141</v>
      </c>
      <c r="C16" s="98"/>
      <c r="D16" s="98" t="s">
        <v>157</v>
      </c>
      <c r="E16" s="99">
        <v>1</v>
      </c>
      <c r="F16" s="98" t="s">
        <v>154</v>
      </c>
      <c r="G16">
        <v>1399</v>
      </c>
      <c r="H16">
        <f t="shared" si="0"/>
        <v>1399</v>
      </c>
    </row>
    <row r="17" spans="1:8" x14ac:dyDescent="0.25">
      <c r="A17" s="98" t="s">
        <v>153</v>
      </c>
      <c r="B17" s="98" t="s">
        <v>141</v>
      </c>
      <c r="C17" s="98"/>
      <c r="D17" s="98" t="s">
        <v>158</v>
      </c>
      <c r="E17" s="99">
        <v>1</v>
      </c>
      <c r="F17" s="98" t="s">
        <v>154</v>
      </c>
      <c r="G17">
        <v>1399</v>
      </c>
      <c r="H17">
        <f t="shared" si="0"/>
        <v>1399</v>
      </c>
    </row>
    <row r="18" spans="1:8" x14ac:dyDescent="0.25">
      <c r="A18" s="98" t="s">
        <v>153</v>
      </c>
      <c r="B18" s="98" t="s">
        <v>141</v>
      </c>
      <c r="C18" s="98"/>
      <c r="D18" s="98" t="s">
        <v>159</v>
      </c>
      <c r="E18" s="99">
        <v>1</v>
      </c>
      <c r="F18" s="98" t="s">
        <v>154</v>
      </c>
      <c r="G18">
        <v>1399</v>
      </c>
      <c r="H18">
        <f t="shared" si="0"/>
        <v>1399</v>
      </c>
    </row>
    <row r="19" spans="1:8" x14ac:dyDescent="0.25">
      <c r="A19" s="98" t="s">
        <v>153</v>
      </c>
      <c r="B19" s="98" t="s">
        <v>141</v>
      </c>
      <c r="C19" s="98"/>
      <c r="D19" s="98" t="s">
        <v>160</v>
      </c>
      <c r="E19" s="99">
        <v>1</v>
      </c>
      <c r="F19" s="98" t="s">
        <v>154</v>
      </c>
      <c r="G19">
        <v>1399</v>
      </c>
      <c r="H19">
        <f t="shared" si="0"/>
        <v>1399</v>
      </c>
    </row>
    <row r="20" spans="1:8" x14ac:dyDescent="0.25">
      <c r="A20" s="98" t="s">
        <v>153</v>
      </c>
      <c r="B20" s="98" t="s">
        <v>141</v>
      </c>
      <c r="C20" s="98"/>
      <c r="D20" s="98" t="s">
        <v>149</v>
      </c>
      <c r="E20" s="99">
        <v>1</v>
      </c>
      <c r="F20" s="98" t="s">
        <v>154</v>
      </c>
      <c r="G20">
        <v>1399</v>
      </c>
      <c r="H20">
        <f t="shared" si="0"/>
        <v>1399</v>
      </c>
    </row>
    <row r="21" spans="1:8" x14ac:dyDescent="0.25">
      <c r="A21" s="98" t="s">
        <v>153</v>
      </c>
      <c r="B21" s="98" t="s">
        <v>141</v>
      </c>
      <c r="C21" s="98"/>
      <c r="D21" s="98" t="s">
        <v>161</v>
      </c>
      <c r="E21" s="99">
        <v>1</v>
      </c>
      <c r="F21" s="98" t="s">
        <v>154</v>
      </c>
      <c r="G21">
        <v>1399</v>
      </c>
      <c r="H21">
        <f t="shared" si="0"/>
        <v>1399</v>
      </c>
    </row>
    <row r="22" spans="1:8" x14ac:dyDescent="0.25">
      <c r="A22" s="98" t="s">
        <v>153</v>
      </c>
      <c r="B22" s="98" t="s">
        <v>141</v>
      </c>
      <c r="C22" s="98"/>
      <c r="D22" s="98" t="s">
        <v>162</v>
      </c>
      <c r="E22" s="99">
        <v>1</v>
      </c>
      <c r="F22" s="98" t="s">
        <v>154</v>
      </c>
      <c r="G22">
        <v>1299</v>
      </c>
      <c r="H22">
        <f t="shared" si="0"/>
        <v>1299</v>
      </c>
    </row>
    <row r="23" spans="1:8" x14ac:dyDescent="0.25">
      <c r="A23" s="98" t="s">
        <v>153</v>
      </c>
      <c r="B23" s="98" t="s">
        <v>141</v>
      </c>
      <c r="C23" s="98"/>
      <c r="D23" s="98" t="s">
        <v>142</v>
      </c>
      <c r="E23" s="99">
        <v>2</v>
      </c>
      <c r="F23" s="98" t="s">
        <v>154</v>
      </c>
      <c r="G23">
        <v>1199</v>
      </c>
      <c r="H23">
        <f t="shared" si="0"/>
        <v>2398</v>
      </c>
    </row>
    <row r="24" spans="1:8" x14ac:dyDescent="0.25">
      <c r="A24" s="98" t="s">
        <v>153</v>
      </c>
      <c r="B24" s="98" t="s">
        <v>141</v>
      </c>
      <c r="C24" s="98"/>
      <c r="D24" s="98" t="s">
        <v>159</v>
      </c>
      <c r="E24" s="99">
        <v>2</v>
      </c>
      <c r="F24" s="98" t="s">
        <v>154</v>
      </c>
      <c r="G24">
        <v>1399</v>
      </c>
      <c r="H24">
        <f t="shared" si="0"/>
        <v>2798</v>
      </c>
    </row>
    <row r="25" spans="1:8" x14ac:dyDescent="0.25">
      <c r="A25" s="98" t="s">
        <v>153</v>
      </c>
      <c r="B25" s="98" t="s">
        <v>141</v>
      </c>
      <c r="C25" s="98"/>
      <c r="D25" s="98" t="s">
        <v>163</v>
      </c>
      <c r="E25" s="99">
        <v>1</v>
      </c>
      <c r="F25" s="98" t="s">
        <v>154</v>
      </c>
      <c r="G25">
        <v>1399</v>
      </c>
      <c r="H25">
        <f t="shared" si="0"/>
        <v>1399</v>
      </c>
    </row>
    <row r="26" spans="1:8" x14ac:dyDescent="0.25">
      <c r="A26" s="98" t="s">
        <v>153</v>
      </c>
      <c r="B26" s="98" t="s">
        <v>141</v>
      </c>
      <c r="C26" s="98"/>
      <c r="D26" s="98" t="s">
        <v>158</v>
      </c>
      <c r="E26" s="99">
        <v>2</v>
      </c>
      <c r="F26" s="98" t="s">
        <v>154</v>
      </c>
      <c r="G26">
        <v>1399</v>
      </c>
      <c r="H26">
        <f t="shared" si="0"/>
        <v>2798</v>
      </c>
    </row>
    <row r="27" spans="1:8" x14ac:dyDescent="0.25">
      <c r="A27" s="98" t="s">
        <v>153</v>
      </c>
      <c r="B27" s="98" t="s">
        <v>141</v>
      </c>
      <c r="C27" s="98"/>
      <c r="D27" s="98" t="s">
        <v>164</v>
      </c>
      <c r="E27" s="99">
        <v>1</v>
      </c>
      <c r="F27" s="98" t="s">
        <v>154</v>
      </c>
      <c r="G27">
        <v>1399</v>
      </c>
      <c r="H27">
        <f t="shared" si="0"/>
        <v>1399</v>
      </c>
    </row>
    <row r="28" spans="1:8" x14ac:dyDescent="0.25">
      <c r="A28" s="98" t="s">
        <v>153</v>
      </c>
      <c r="B28" s="98" t="s">
        <v>141</v>
      </c>
      <c r="C28" s="98"/>
      <c r="D28" s="98" t="s">
        <v>165</v>
      </c>
      <c r="E28" s="99">
        <v>12</v>
      </c>
      <c r="F28" s="98" t="s">
        <v>154</v>
      </c>
      <c r="G28">
        <v>1250</v>
      </c>
      <c r="H28">
        <f t="shared" si="0"/>
        <v>15000</v>
      </c>
    </row>
    <row r="29" spans="1:8" x14ac:dyDescent="0.25">
      <c r="A29" s="98" t="s">
        <v>153</v>
      </c>
      <c r="B29" s="98" t="s">
        <v>141</v>
      </c>
      <c r="C29" s="98"/>
      <c r="D29" s="98" t="s">
        <v>166</v>
      </c>
      <c r="E29" s="99">
        <v>30</v>
      </c>
      <c r="F29" s="98" t="s">
        <v>154</v>
      </c>
    </row>
    <row r="30" spans="1:8" x14ac:dyDescent="0.25">
      <c r="A30" s="100"/>
      <c r="B30" s="100"/>
      <c r="C30" s="100"/>
      <c r="D30" s="100" t="s">
        <v>167</v>
      </c>
      <c r="E30" s="101">
        <v>153</v>
      </c>
      <c r="F30" s="100"/>
      <c r="H30" s="102">
        <f>SUM(H2:H28)</f>
        <v>142672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Sheets Detail</vt:lpstr>
      <vt:lpstr>FOC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2026-09-08T15:59:29Z</dcterms:created>
  <dcterms:modified xsi:type="dcterms:W3CDTF">2026-09-16T10:27:26Z</dcterms:modified>
</cp:coreProperties>
</file>